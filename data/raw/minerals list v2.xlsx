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pivotTables/pivotTable1.xml" ContentType="application/vnd.openxmlformats-officedocument.spreadsheetml.pivotTable+xml"/>
  <Override PartName="/xl/drawings/drawing9.xml" ContentType="application/vnd.openxmlformats-officedocument.drawing+xml"/>
  <Override PartName="/xl/drawings/drawing10.xml" ContentType="application/vnd.openxmlformats-officedocument.drawing+xml"/>
  <Override PartName="/xl/tables/table7.xml" ContentType="application/vnd.openxmlformats-officedocument.spreadsheetml.table+xml"/>
  <Override PartName="/xl/drawings/drawing11.xml" ContentType="application/vnd.openxmlformats-officedocument.drawing+xml"/>
  <Override PartName="/xl/tables/table8.xml" ContentType="application/vnd.openxmlformats-officedocument.spreadsheetml.table+xml"/>
  <Override PartName="/xl/drawings/drawing12.xml" ContentType="application/vnd.openxmlformats-officedocument.drawing+xml"/>
  <Override PartName="/xl/tables/table9.xml" ContentType="application/vnd.openxmlformats-officedocument.spreadsheetml.table+xml"/>
  <Override PartName="/xl/drawings/drawing13.xml" ContentType="application/vnd.openxmlformats-officedocument.drawing+xml"/>
  <Override PartName="/xl/tables/table10.xml" ContentType="application/vnd.openxmlformats-officedocument.spreadsheetml.table+xml"/>
  <Override PartName="/xl/drawings/drawing1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kaeauk-my.sharepoint.com/personal/robert_james1_ukaea_uk/Documents/Documents/Critical Minerals/"/>
    </mc:Choice>
  </mc:AlternateContent>
  <xr:revisionPtr revIDLastSave="2428" documentId="8_{8531FA6D-E335-4C6F-A9C7-EBBA544F512B}" xr6:coauthVersionLast="47" xr6:coauthVersionMax="47" xr10:uidLastSave="{B06D0B32-8F7D-4F7D-BE46-C2DB2247724F}"/>
  <bookViews>
    <workbookView xWindow="-108" yWindow="-108" windowWidth="23256" windowHeight="12456" firstSheet="7" activeTab="7" xr2:uid="{2C94FDB4-7435-4E08-94B6-3925F5B59556}"/>
  </bookViews>
  <sheets>
    <sheet name="00_README" sheetId="36" r:id="rId1"/>
    <sheet name="Crit_Min_Frameworks" sheetId="35" r:id="rId2"/>
    <sheet name="01_raw_data" sheetId="1" r:id="rId3"/>
    <sheet name="02_ref_data" sheetId="29" r:id="rId4"/>
    <sheet name="03_global_tot" sheetId="33" r:id="rId5"/>
    <sheet name="Mineral Criticality Model" sheetId="20" r:id="rId6"/>
    <sheet name="Country Strategic Scores" sheetId="21" r:id="rId7"/>
    <sheet name="04_output_report" sheetId="8" r:id="rId8"/>
    <sheet name="Mineral Industry List" sheetId="10" r:id="rId9"/>
    <sheet name="sector-mineral matrix" sheetId="15" r:id="rId10"/>
    <sheet name="sector-country matrix" sheetId="17" r:id="rId11"/>
    <sheet name="sector-country list" sheetId="16" r:id="rId12"/>
    <sheet name="Country Code" sheetId="27" r:id="rId13"/>
    <sheet name="Mineral Codes" sheetId="30" r:id="rId14"/>
    <sheet name="Sector Codes" sheetId="31" r:id="rId15"/>
    <sheet name="Sources" sheetId="28" r:id="rId16"/>
  </sheets>
  <definedNames>
    <definedName name="country_codes">Table10[#All]</definedName>
    <definedName name="list_manufacturer">#REF!</definedName>
    <definedName name="list_producer">#REF!</definedName>
    <definedName name="min_industry_list">Table3[#All]</definedName>
    <definedName name="min_matrix">Table112[#All]</definedName>
    <definedName name="min_sector_list">Table3[#All]</definedName>
    <definedName name="ref_data">Table112[]</definedName>
    <definedName name="sector_code">Table8[#All]</definedName>
  </definedNames>
  <calcPr calcId="191029"/>
  <pivotCaches>
    <pivotCache cacheId="0"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D2" i="20"/>
  <c r="L5" i="15"/>
  <c r="B2" i="33"/>
  <c r="B11" i="33"/>
  <c r="L8" i="15"/>
  <c r="L10" i="15"/>
  <c r="L39" i="15"/>
  <c r="L42" i="15"/>
  <c r="L17" i="15"/>
  <c r="L2" i="15"/>
  <c r="L12" i="15"/>
  <c r="L27" i="15"/>
  <c r="L28" i="15"/>
  <c r="L38" i="15"/>
  <c r="L47" i="15"/>
  <c r="L9" i="15"/>
  <c r="L32" i="15"/>
  <c r="L46" i="15"/>
  <c r="E2"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B46" i="20"/>
  <c r="B34" i="20"/>
  <c r="B47" i="20"/>
  <c r="B39" i="33"/>
  <c r="B38" i="33"/>
  <c r="B33" i="20" s="1"/>
  <c r="B37" i="33"/>
  <c r="B44" i="20" s="1"/>
  <c r="B36" i="33"/>
  <c r="B32" i="20" s="1"/>
  <c r="B35" i="33"/>
  <c r="B31" i="20" s="1"/>
  <c r="B10" i="33"/>
  <c r="B41" i="20" s="1"/>
  <c r="B34" i="33"/>
  <c r="B30" i="20" s="1"/>
  <c r="B33" i="33"/>
  <c r="B29" i="20" s="1"/>
  <c r="B9" i="33"/>
  <c r="B40" i="20" s="1"/>
  <c r="B32" i="33"/>
  <c r="B28" i="20" s="1"/>
  <c r="B31" i="33"/>
  <c r="B43" i="20" s="1"/>
  <c r="B47" i="33"/>
  <c r="B4" i="20" s="1"/>
  <c r="B44" i="33"/>
  <c r="B9" i="20" s="1"/>
  <c r="B46" i="33"/>
  <c r="B3" i="20" s="1"/>
  <c r="B30" i="33"/>
  <c r="B27" i="20" s="1"/>
  <c r="B29" i="33"/>
  <c r="B42" i="20" s="1"/>
  <c r="B43" i="33"/>
  <c r="B8" i="20" s="1"/>
  <c r="B28" i="33"/>
  <c r="B26" i="20" s="1"/>
  <c r="B42" i="33"/>
  <c r="B7" i="20" s="1"/>
  <c r="B45" i="33"/>
  <c r="B2" i="20" s="1"/>
  <c r="B8" i="33"/>
  <c r="B39" i="20" s="1"/>
  <c r="B27" i="33"/>
  <c r="B25" i="20" s="1"/>
  <c r="B26" i="33"/>
  <c r="B24" i="20" s="1"/>
  <c r="B25" i="33"/>
  <c r="B23" i="20" s="1"/>
  <c r="B7" i="33"/>
  <c r="B38" i="20" s="1"/>
  <c r="B24" i="33"/>
  <c r="B22" i="20" s="1"/>
  <c r="B41" i="33"/>
  <c r="B6" i="20" s="1"/>
  <c r="B23" i="33"/>
  <c r="B21" i="20" s="1"/>
  <c r="B22" i="33"/>
  <c r="B20" i="20" s="1"/>
  <c r="B6" i="33"/>
  <c r="B37" i="20" s="1"/>
  <c r="B21" i="33"/>
  <c r="B19" i="20" s="1"/>
  <c r="B20" i="33"/>
  <c r="B18" i="20" s="1"/>
  <c r="B19" i="33"/>
  <c r="B17" i="20" s="1"/>
  <c r="B3" i="33"/>
  <c r="B45" i="20" s="1"/>
  <c r="B18" i="33"/>
  <c r="B16" i="20" s="1"/>
  <c r="B17" i="33"/>
  <c r="B15" i="20" s="1"/>
  <c r="B40" i="33"/>
  <c r="B5" i="20" s="1"/>
  <c r="B16" i="33"/>
  <c r="B14" i="20" s="1"/>
  <c r="B15" i="33"/>
  <c r="B13" i="20" s="1"/>
  <c r="B14" i="33"/>
  <c r="B12" i="20" s="1"/>
  <c r="B13" i="33"/>
  <c r="B11" i="20" s="1"/>
  <c r="B12" i="33"/>
  <c r="B10" i="20" s="1"/>
  <c r="B5" i="33"/>
  <c r="B36" i="20" s="1"/>
  <c r="B4" i="33"/>
  <c r="B35" i="20" s="1"/>
  <c r="C16" i="20" a="1"/>
  <c r="C16" i="20" s="1"/>
  <c r="C15" i="20" a="1"/>
  <c r="C15" i="20" s="1"/>
  <c r="C36" i="20" a="1"/>
  <c r="C36" i="20" s="1"/>
  <c r="C30" i="20" a="1"/>
  <c r="C30" i="20" s="1"/>
  <c r="C29" i="20" a="1"/>
  <c r="C29" i="20" s="1"/>
  <c r="C40" i="20" a="1"/>
  <c r="C40" i="20" s="1"/>
  <c r="C28" i="20" a="1"/>
  <c r="C28" i="20" s="1"/>
  <c r="C43" i="20" a="1"/>
  <c r="C43" i="20" s="1"/>
  <c r="C26" i="20" a="1"/>
  <c r="C26" i="20" s="1"/>
  <c r="C10" i="20" a="1"/>
  <c r="C10" i="20" s="1"/>
  <c r="C11" i="20" a="1"/>
  <c r="C11" i="20" s="1"/>
  <c r="C12" i="20" a="1"/>
  <c r="C12" i="20" s="1"/>
  <c r="C13" i="20" a="1"/>
  <c r="C13" i="20" s="1"/>
  <c r="C14" i="20" a="1"/>
  <c r="C14" i="20" s="1"/>
  <c r="C5" i="20" a="1"/>
  <c r="C5" i="20" s="1"/>
  <c r="C45" i="20" a="1"/>
  <c r="C45" i="20" s="1"/>
  <c r="C17" i="20" a="1"/>
  <c r="C17" i="20" s="1"/>
  <c r="C18" i="20" a="1"/>
  <c r="C18" i="20" s="1"/>
  <c r="C19" i="20" a="1"/>
  <c r="C19" i="20" s="1"/>
  <c r="C37" i="20" a="1"/>
  <c r="C37" i="20" s="1"/>
  <c r="C20" i="20" a="1"/>
  <c r="C20" i="20" s="1"/>
  <c r="C21" i="20" a="1"/>
  <c r="C21" i="20" s="1"/>
  <c r="C6" i="20" a="1"/>
  <c r="C6" i="20" s="1"/>
  <c r="C22" i="20" a="1"/>
  <c r="C22" i="20" s="1"/>
  <c r="C38" i="20" a="1"/>
  <c r="C38" i="20" s="1"/>
  <c r="C23" i="20" a="1"/>
  <c r="C23" i="20" s="1"/>
  <c r="C24" i="20" a="1"/>
  <c r="C24" i="20" s="1"/>
  <c r="C25" i="20" a="1"/>
  <c r="C25" i="20" s="1"/>
  <c r="C39" i="20" a="1"/>
  <c r="C39" i="20" s="1"/>
  <c r="C2" i="20" a="1"/>
  <c r="C2" i="20" s="1"/>
  <c r="C7" i="20" a="1"/>
  <c r="C7" i="20" s="1"/>
  <c r="C8" i="20" a="1"/>
  <c r="C8" i="20" s="1"/>
  <c r="C42" i="20" a="1"/>
  <c r="C42" i="20" s="1"/>
  <c r="C47" i="20" a="1"/>
  <c r="C47" i="20" s="1"/>
  <c r="C27" i="20" a="1"/>
  <c r="C27" i="20" s="1"/>
  <c r="C3" i="20" a="1"/>
  <c r="C3" i="20" s="1"/>
  <c r="C9" i="20" a="1"/>
  <c r="C9" i="20" s="1"/>
  <c r="C4" i="20" a="1"/>
  <c r="C4" i="20" s="1"/>
  <c r="C41" i="20" a="1"/>
  <c r="C41" i="20" s="1"/>
  <c r="C31" i="20" a="1"/>
  <c r="C31" i="20" s="1"/>
  <c r="C32" i="20" a="1"/>
  <c r="C32" i="20" s="1"/>
  <c r="C46" i="20" a="1"/>
  <c r="C46" i="20" s="1"/>
  <c r="C44" i="20" a="1"/>
  <c r="C44" i="20" s="1"/>
  <c r="C33" i="20" a="1"/>
  <c r="C33" i="20" s="1"/>
  <c r="C34" i="20" a="1"/>
  <c r="C34" i="20" s="1"/>
  <c r="C35" i="20" a="1"/>
  <c r="C35" i="20" s="1"/>
  <c r="B2" i="29"/>
  <c r="B3" i="29"/>
  <c r="B4" i="29"/>
  <c r="B5" i="29"/>
  <c r="B6" i="29"/>
  <c r="B7" i="29"/>
  <c r="B8" i="29"/>
  <c r="B9" i="29"/>
  <c r="B10" i="29"/>
  <c r="B11" i="29"/>
  <c r="B12" i="29"/>
  <c r="B13" i="29"/>
  <c r="B14" i="29"/>
  <c r="B15" i="29"/>
  <c r="B16" i="29"/>
  <c r="B17" i="29"/>
  <c r="B18" i="29"/>
  <c r="B19" i="29"/>
  <c r="B20" i="29"/>
  <c r="B21" i="29"/>
  <c r="B22" i="29"/>
  <c r="B23" i="29"/>
  <c r="B24" i="29"/>
  <c r="B25" i="29"/>
  <c r="B26" i="29"/>
  <c r="B27" i="29"/>
  <c r="B28" i="29"/>
  <c r="B29" i="29"/>
  <c r="B30" i="29"/>
  <c r="B31" i="29"/>
  <c r="B32" i="29"/>
  <c r="B33" i="29"/>
  <c r="B34" i="29"/>
  <c r="B35" i="29"/>
  <c r="B36" i="29"/>
  <c r="B37" i="29"/>
  <c r="B38" i="29"/>
  <c r="B39" i="29"/>
  <c r="B40" i="29"/>
  <c r="B41" i="29"/>
  <c r="B42" i="29"/>
  <c r="B43" i="29"/>
  <c r="B44" i="29"/>
  <c r="B45" i="29"/>
  <c r="B46" i="29"/>
  <c r="B47" i="29"/>
  <c r="B48" i="29"/>
  <c r="B49" i="29"/>
  <c r="B50" i="29"/>
  <c r="B51" i="29"/>
  <c r="B52" i="29"/>
  <c r="B53" i="29"/>
  <c r="B54" i="29"/>
  <c r="AW54" i="29"/>
  <c r="AW53" i="29"/>
  <c r="AW52" i="29"/>
  <c r="AW51" i="29"/>
  <c r="AW50" i="29"/>
  <c r="AW49" i="29"/>
  <c r="AW48" i="29"/>
  <c r="AW47" i="29"/>
  <c r="AW46" i="29"/>
  <c r="AW45" i="29"/>
  <c r="AW44" i="29"/>
  <c r="AW43" i="29"/>
  <c r="AW42" i="29"/>
  <c r="AW41" i="29"/>
  <c r="AW40" i="29"/>
  <c r="AW39" i="29"/>
  <c r="AW38" i="29"/>
  <c r="AW37" i="29"/>
  <c r="AW36" i="29"/>
  <c r="AW35" i="29"/>
  <c r="AW34" i="29"/>
  <c r="AW33" i="29"/>
  <c r="AW32" i="29"/>
  <c r="AW31" i="29"/>
  <c r="AW30" i="29"/>
  <c r="AW29" i="29"/>
  <c r="AW28" i="29"/>
  <c r="AW27" i="29"/>
  <c r="AW26" i="29"/>
  <c r="AW25" i="29"/>
  <c r="AW24" i="29"/>
  <c r="AW23" i="29"/>
  <c r="AW22" i="29"/>
  <c r="AW21" i="29"/>
  <c r="AW20" i="29"/>
  <c r="AW19" i="29"/>
  <c r="AW18" i="29"/>
  <c r="AW17" i="29"/>
  <c r="AW16" i="29"/>
  <c r="AW15" i="29"/>
  <c r="AW14" i="29"/>
  <c r="AW13" i="29"/>
  <c r="AW12" i="29"/>
  <c r="AW11" i="29"/>
  <c r="AW10" i="29"/>
  <c r="AW9" i="29"/>
  <c r="AW8" i="29"/>
  <c r="AW7" i="29"/>
  <c r="AW6" i="29"/>
  <c r="AW5" i="29"/>
  <c r="AW4" i="29"/>
  <c r="AW3" i="29"/>
  <c r="AW2" i="29"/>
  <c r="L25" i="15"/>
  <c r="L22" i="15"/>
  <c r="L35" i="15"/>
  <c r="L3" i="15"/>
  <c r="L4" i="15"/>
  <c r="L6" i="15"/>
  <c r="L7" i="15"/>
  <c r="L11" i="15"/>
  <c r="L13" i="15"/>
  <c r="L14" i="15"/>
  <c r="L15" i="15"/>
  <c r="L16" i="15"/>
  <c r="L18" i="15"/>
  <c r="L19" i="15"/>
  <c r="L20" i="15"/>
  <c r="L21" i="15"/>
  <c r="L23" i="15"/>
  <c r="L24" i="15"/>
  <c r="L26" i="15"/>
  <c r="L29" i="15"/>
  <c r="L44" i="15"/>
  <c r="L30" i="15"/>
  <c r="L31" i="15"/>
  <c r="L33" i="15"/>
  <c r="L34" i="15"/>
  <c r="L45" i="15"/>
  <c r="L36" i="15"/>
  <c r="L37" i="15"/>
  <c r="L40" i="15"/>
  <c r="L41" i="15"/>
  <c r="L43" i="15"/>
  <c r="D20" i="20" l="1"/>
  <c r="D39" i="20"/>
  <c r="D3" i="20"/>
  <c r="D41" i="20"/>
  <c r="D22" i="20"/>
  <c r="D9" i="20"/>
  <c r="D26" i="20"/>
  <c r="D17" i="20"/>
  <c r="D10" i="20"/>
  <c r="D44" i="20"/>
  <c r="D5" i="20"/>
  <c r="D28" i="20"/>
  <c r="D35" i="20"/>
  <c r="B3" i="21" s="1"/>
  <c r="D8" i="20"/>
  <c r="D37" i="20"/>
  <c r="D38" i="20"/>
  <c r="D11" i="20"/>
  <c r="D15" i="20"/>
  <c r="D45" i="20"/>
  <c r="D24" i="20"/>
  <c r="D31" i="20"/>
  <c r="D19" i="20"/>
  <c r="D30" i="20"/>
  <c r="D33" i="20"/>
  <c r="D43" i="20"/>
  <c r="D46" i="20"/>
  <c r="D40" i="20"/>
  <c r="D42" i="20"/>
  <c r="D23" i="20"/>
  <c r="D12" i="20"/>
  <c r="D18" i="20"/>
  <c r="D32" i="20"/>
  <c r="D7" i="20"/>
  <c r="D36" i="20"/>
  <c r="D16" i="20"/>
  <c r="D47" i="20"/>
  <c r="D13" i="20"/>
  <c r="D14" i="20"/>
  <c r="D34" i="20"/>
  <c r="D6" i="20"/>
  <c r="D27" i="20"/>
  <c r="D4" i="20"/>
  <c r="D25" i="20"/>
  <c r="D21" i="20"/>
  <c r="D29" i="20"/>
  <c r="D3" i="21"/>
  <c r="AN2" i="21"/>
  <c r="B2" i="21" l="1"/>
  <c r="I9" i="21"/>
  <c r="I5" i="21"/>
  <c r="I8" i="21"/>
  <c r="I21" i="21"/>
  <c r="I28" i="21"/>
  <c r="I43" i="21"/>
  <c r="I41" i="21"/>
  <c r="I39" i="21"/>
  <c r="I12" i="21"/>
  <c r="I22" i="21"/>
  <c r="I27" i="21"/>
  <c r="I49" i="21"/>
  <c r="I37" i="21"/>
  <c r="I54" i="21"/>
  <c r="I13" i="21"/>
  <c r="I18" i="21"/>
  <c r="I25" i="21"/>
  <c r="I33" i="21"/>
  <c r="I53" i="21"/>
  <c r="I51" i="21"/>
  <c r="I10" i="21"/>
  <c r="I17" i="21"/>
  <c r="I32" i="21"/>
  <c r="I34" i="21"/>
  <c r="I50" i="21"/>
  <c r="I42" i="21"/>
  <c r="I2" i="21"/>
  <c r="I11" i="21"/>
  <c r="I23" i="21"/>
  <c r="I31" i="21"/>
  <c r="I35" i="21"/>
  <c r="I45" i="21"/>
  <c r="I48" i="21"/>
  <c r="I3" i="21"/>
  <c r="I4" i="21"/>
  <c r="I14" i="21"/>
  <c r="I20" i="21"/>
  <c r="I29" i="21"/>
  <c r="I36" i="21"/>
  <c r="I46" i="21"/>
  <c r="I44" i="21"/>
  <c r="I24" i="21"/>
  <c r="I6" i="21"/>
  <c r="I52" i="21"/>
  <c r="I7" i="21"/>
  <c r="I40" i="21"/>
  <c r="I16" i="21"/>
  <c r="I19" i="21"/>
  <c r="I26" i="21"/>
  <c r="I15" i="21"/>
  <c r="I47" i="21"/>
  <c r="I38" i="21"/>
  <c r="I30" i="21"/>
  <c r="H5" i="21"/>
  <c r="H11" i="21"/>
  <c r="H23" i="21"/>
  <c r="H31" i="21"/>
  <c r="H35" i="21"/>
  <c r="H45" i="21"/>
  <c r="H48" i="21"/>
  <c r="H6" i="21"/>
  <c r="H14" i="21"/>
  <c r="H20" i="21"/>
  <c r="H29" i="21"/>
  <c r="H36" i="21"/>
  <c r="H46" i="21"/>
  <c r="H44" i="21"/>
  <c r="H47" i="21"/>
  <c r="H7" i="21"/>
  <c r="H15" i="21"/>
  <c r="H19" i="21"/>
  <c r="H26" i="21"/>
  <c r="H52" i="21"/>
  <c r="H8" i="21"/>
  <c r="H16" i="21"/>
  <c r="H30" i="21"/>
  <c r="H24" i="21"/>
  <c r="H40" i="21"/>
  <c r="H38" i="21"/>
  <c r="H3" i="21"/>
  <c r="H9" i="21"/>
  <c r="H21" i="21"/>
  <c r="H28" i="21"/>
  <c r="H43" i="21"/>
  <c r="H41" i="21"/>
  <c r="H39" i="21"/>
  <c r="H12" i="21"/>
  <c r="H22" i="21"/>
  <c r="H27" i="21"/>
  <c r="H49" i="21"/>
  <c r="H37" i="21"/>
  <c r="H54" i="21"/>
  <c r="H10" i="21"/>
  <c r="H50" i="21"/>
  <c r="H33" i="21"/>
  <c r="H13" i="21"/>
  <c r="H18" i="21"/>
  <c r="H51" i="21"/>
  <c r="H2" i="21"/>
  <c r="H17" i="21"/>
  <c r="H42" i="21"/>
  <c r="H53" i="21"/>
  <c r="H25" i="21"/>
  <c r="H32" i="21"/>
  <c r="H4" i="21"/>
  <c r="H34" i="21"/>
  <c r="AB5" i="21"/>
  <c r="AB11" i="21"/>
  <c r="AB23" i="21"/>
  <c r="AB4" i="21"/>
  <c r="AB2" i="21"/>
  <c r="AB13" i="21"/>
  <c r="AB18" i="21"/>
  <c r="AB9" i="21"/>
  <c r="AB21" i="21"/>
  <c r="AB8" i="21"/>
  <c r="AB16" i="21"/>
  <c r="AB7" i="21"/>
  <c r="AB15" i="21"/>
  <c r="AB19" i="21"/>
  <c r="AB17" i="21"/>
  <c r="AB24" i="21"/>
  <c r="AB22" i="21"/>
  <c r="AB26" i="21"/>
  <c r="AB14" i="21"/>
  <c r="AB29" i="21"/>
  <c r="AB36" i="21"/>
  <c r="AB12" i="21"/>
  <c r="AB32" i="21"/>
  <c r="AB34" i="21"/>
  <c r="AB6" i="21"/>
  <c r="AB25" i="21"/>
  <c r="AB33" i="21"/>
  <c r="AB10" i="21"/>
  <c r="AB50" i="21"/>
  <c r="AB30" i="21"/>
  <c r="AB43" i="21"/>
  <c r="AB35" i="21"/>
  <c r="AB53" i="21"/>
  <c r="AB51" i="21"/>
  <c r="AB31" i="21"/>
  <c r="AB37" i="21"/>
  <c r="AB41" i="21"/>
  <c r="AB39" i="21"/>
  <c r="AB20" i="21"/>
  <c r="AB28" i="21"/>
  <c r="AB49" i="21"/>
  <c r="AB40" i="21"/>
  <c r="AB52" i="21"/>
  <c r="AB47" i="21"/>
  <c r="AB38" i="21"/>
  <c r="AB27" i="21"/>
  <c r="AB46" i="21"/>
  <c r="AB54" i="21"/>
  <c r="AB44" i="21"/>
  <c r="AB45" i="21"/>
  <c r="AB42" i="21"/>
  <c r="AB48" i="21"/>
  <c r="AB3" i="21"/>
  <c r="Z2" i="21"/>
  <c r="Z13" i="21"/>
  <c r="Z18" i="21"/>
  <c r="Z9" i="21"/>
  <c r="Z21" i="21"/>
  <c r="Z8" i="21"/>
  <c r="Z7" i="21"/>
  <c r="Z15" i="21"/>
  <c r="Z19" i="21"/>
  <c r="Z6" i="21"/>
  <c r="Z14" i="21"/>
  <c r="Z20" i="21"/>
  <c r="Z5" i="21"/>
  <c r="Z11" i="21"/>
  <c r="Z23" i="21"/>
  <c r="Z22" i="21"/>
  <c r="Z29" i="21"/>
  <c r="Z36" i="21"/>
  <c r="Z16" i="21"/>
  <c r="Z30" i="21"/>
  <c r="Z31" i="21"/>
  <c r="Z35" i="21"/>
  <c r="Z10" i="21"/>
  <c r="Z32" i="21"/>
  <c r="Z34" i="21"/>
  <c r="Z27" i="21"/>
  <c r="Z49" i="21"/>
  <c r="Z4" i="21"/>
  <c r="Z28" i="21"/>
  <c r="Z43" i="21"/>
  <c r="Z37" i="21"/>
  <c r="Z54" i="21"/>
  <c r="Z26" i="21"/>
  <c r="Z41" i="21"/>
  <c r="Z39" i="21"/>
  <c r="Z25" i="21"/>
  <c r="Z40" i="21"/>
  <c r="Z38" i="21"/>
  <c r="Z17" i="21"/>
  <c r="Z52" i="21"/>
  <c r="Z47" i="21"/>
  <c r="Z24" i="21"/>
  <c r="Z45" i="21"/>
  <c r="Z46" i="21"/>
  <c r="Z50" i="21"/>
  <c r="Z51" i="21"/>
  <c r="Z44" i="21"/>
  <c r="Z12" i="21"/>
  <c r="Z33" i="21"/>
  <c r="Z48" i="21"/>
  <c r="Z42" i="21"/>
  <c r="Z53" i="21"/>
  <c r="Z3" i="21"/>
  <c r="AI4" i="21"/>
  <c r="AI10" i="21"/>
  <c r="AI17" i="21"/>
  <c r="AI2" i="21"/>
  <c r="AI12" i="21"/>
  <c r="AI22" i="21"/>
  <c r="AI8" i="21"/>
  <c r="AI16" i="21"/>
  <c r="AI7" i="21"/>
  <c r="AI15" i="21"/>
  <c r="AI19" i="21"/>
  <c r="AI6" i="21"/>
  <c r="AI14" i="21"/>
  <c r="AI20" i="21"/>
  <c r="AI21" i="21"/>
  <c r="AI26" i="21"/>
  <c r="AI11" i="21"/>
  <c r="AI30" i="21"/>
  <c r="AI29" i="21"/>
  <c r="AI36" i="21"/>
  <c r="AI5" i="21"/>
  <c r="AI13" i="21"/>
  <c r="AI31" i="21"/>
  <c r="AI35" i="21"/>
  <c r="AI25" i="21"/>
  <c r="AI33" i="21"/>
  <c r="AI27" i="21"/>
  <c r="AI49" i="21"/>
  <c r="AI18" i="21"/>
  <c r="AI23" i="21"/>
  <c r="AI24" i="21"/>
  <c r="AI53" i="21"/>
  <c r="AI51" i="21"/>
  <c r="AI32" i="21"/>
  <c r="AI37" i="21"/>
  <c r="AI54" i="21"/>
  <c r="AI41" i="21"/>
  <c r="AI39" i="21"/>
  <c r="AI43" i="21"/>
  <c r="AI40" i="21"/>
  <c r="AI38" i="21"/>
  <c r="AI9" i="21"/>
  <c r="AI52" i="21"/>
  <c r="AI46" i="21"/>
  <c r="AI45" i="21"/>
  <c r="AI44" i="21"/>
  <c r="AI48" i="21"/>
  <c r="AI28" i="21"/>
  <c r="AI34" i="21"/>
  <c r="AI42" i="21"/>
  <c r="AI50" i="21"/>
  <c r="AI47" i="21"/>
  <c r="AI3" i="21"/>
  <c r="AP2" i="21"/>
  <c r="AP13" i="21"/>
  <c r="AP18" i="21"/>
  <c r="AP9" i="21"/>
  <c r="AP21" i="21"/>
  <c r="AP7" i="21"/>
  <c r="AP15" i="21"/>
  <c r="AP6" i="21"/>
  <c r="AP14" i="21"/>
  <c r="AP20" i="21"/>
  <c r="AP5" i="21"/>
  <c r="AP11" i="21"/>
  <c r="AP23" i="21"/>
  <c r="AP10" i="21"/>
  <c r="AP29" i="21"/>
  <c r="AP12" i="21"/>
  <c r="AP31" i="21"/>
  <c r="AP35" i="21"/>
  <c r="AP8" i="21"/>
  <c r="AP32" i="21"/>
  <c r="AP34" i="21"/>
  <c r="AP19" i="21"/>
  <c r="AP27" i="21"/>
  <c r="AP49" i="21"/>
  <c r="AP17" i="21"/>
  <c r="AP28" i="21"/>
  <c r="AP43" i="21"/>
  <c r="AP25" i="21"/>
  <c r="AP37" i="21"/>
  <c r="AP54" i="21"/>
  <c r="AP41" i="21"/>
  <c r="AP39" i="21"/>
  <c r="AP4" i="21"/>
  <c r="AP24" i="21"/>
  <c r="AP40" i="21"/>
  <c r="AP38" i="21"/>
  <c r="AP52" i="21"/>
  <c r="AP47" i="21"/>
  <c r="AP16" i="21"/>
  <c r="AP22" i="21"/>
  <c r="AP33" i="21"/>
  <c r="AP45" i="21"/>
  <c r="AP26" i="21"/>
  <c r="AP36" i="21"/>
  <c r="AP51" i="21"/>
  <c r="AP44" i="21"/>
  <c r="AP48" i="21"/>
  <c r="AP30" i="21"/>
  <c r="AP53" i="21"/>
  <c r="AP42" i="21"/>
  <c r="AP46" i="21"/>
  <c r="AP3" i="21"/>
  <c r="AP50" i="21"/>
  <c r="AC6" i="21"/>
  <c r="AC14" i="21"/>
  <c r="AC20" i="21"/>
  <c r="AC5" i="21"/>
  <c r="AC4" i="21"/>
  <c r="AC10" i="21"/>
  <c r="AC17" i="21"/>
  <c r="AC2" i="21"/>
  <c r="AC12" i="21"/>
  <c r="AC22" i="21"/>
  <c r="AC9" i="21"/>
  <c r="AC21" i="21"/>
  <c r="AC8" i="21"/>
  <c r="AC16" i="21"/>
  <c r="AC30" i="21"/>
  <c r="AC13" i="21"/>
  <c r="AC28" i="21"/>
  <c r="AC43" i="21"/>
  <c r="AC7" i="21"/>
  <c r="AC24" i="21"/>
  <c r="AC26" i="21"/>
  <c r="AC23" i="21"/>
  <c r="AC31" i="21"/>
  <c r="AC18" i="21"/>
  <c r="AC32" i="21"/>
  <c r="AC34" i="21"/>
  <c r="AC19" i="21"/>
  <c r="AC27" i="21"/>
  <c r="AC33" i="21"/>
  <c r="AC45" i="21"/>
  <c r="AC50" i="21"/>
  <c r="AC35" i="21"/>
  <c r="AC53" i="21"/>
  <c r="AC25" i="21"/>
  <c r="AC37" i="21"/>
  <c r="AC54" i="21"/>
  <c r="AC11" i="21"/>
  <c r="AC15" i="21"/>
  <c r="AC49" i="21"/>
  <c r="AC36" i="21"/>
  <c r="AC40" i="21"/>
  <c r="AC38" i="21"/>
  <c r="AC46" i="21"/>
  <c r="AC51" i="21"/>
  <c r="AC29" i="21"/>
  <c r="AC52" i="21"/>
  <c r="AC39" i="21"/>
  <c r="AC48" i="21"/>
  <c r="AC44" i="21"/>
  <c r="AC3" i="21"/>
  <c r="AC42" i="21"/>
  <c r="AC41" i="21"/>
  <c r="AC47" i="21"/>
  <c r="L2" i="21"/>
  <c r="L13" i="21"/>
  <c r="L18" i="21"/>
  <c r="L25" i="21"/>
  <c r="L4" i="21"/>
  <c r="L10" i="21"/>
  <c r="L17" i="21"/>
  <c r="L32" i="21"/>
  <c r="L34" i="21"/>
  <c r="L50" i="21"/>
  <c r="L42" i="21"/>
  <c r="L5" i="21"/>
  <c r="L11" i="21"/>
  <c r="L23" i="21"/>
  <c r="L31" i="21"/>
  <c r="L35" i="21"/>
  <c r="L45" i="21"/>
  <c r="L48" i="21"/>
  <c r="L6" i="21"/>
  <c r="L14" i="21"/>
  <c r="L20" i="21"/>
  <c r="L7" i="21"/>
  <c r="L15" i="21"/>
  <c r="L19" i="21"/>
  <c r="L26" i="21"/>
  <c r="L52" i="21"/>
  <c r="L47" i="21"/>
  <c r="L9" i="21"/>
  <c r="L21" i="21"/>
  <c r="L28" i="21"/>
  <c r="L43" i="21"/>
  <c r="L41" i="21"/>
  <c r="L39" i="21"/>
  <c r="L29" i="21"/>
  <c r="L46" i="21"/>
  <c r="L24" i="21"/>
  <c r="L38" i="21"/>
  <c r="L8" i="21"/>
  <c r="L49" i="21"/>
  <c r="L54" i="21"/>
  <c r="L12" i="21"/>
  <c r="L33" i="21"/>
  <c r="L51" i="21"/>
  <c r="L16" i="21"/>
  <c r="L36" i="21"/>
  <c r="L44" i="21"/>
  <c r="L22" i="21"/>
  <c r="L40" i="21"/>
  <c r="L53" i="21"/>
  <c r="L3" i="21"/>
  <c r="L30" i="21"/>
  <c r="L37" i="21"/>
  <c r="L27" i="21"/>
  <c r="E9" i="21"/>
  <c r="E21" i="21"/>
  <c r="E28" i="21"/>
  <c r="E43" i="21"/>
  <c r="E41" i="21"/>
  <c r="E39" i="21"/>
  <c r="E3" i="21"/>
  <c r="E12" i="21"/>
  <c r="E22" i="21"/>
  <c r="E27" i="21"/>
  <c r="E49" i="21"/>
  <c r="E37" i="21"/>
  <c r="E54" i="21"/>
  <c r="E4" i="21"/>
  <c r="E10" i="21"/>
  <c r="E17" i="21"/>
  <c r="E32" i="21"/>
  <c r="E34" i="21"/>
  <c r="E50" i="21"/>
  <c r="E42" i="21"/>
  <c r="E5" i="21"/>
  <c r="E11" i="21"/>
  <c r="E23" i="21"/>
  <c r="E31" i="21"/>
  <c r="E35" i="21"/>
  <c r="E45" i="21"/>
  <c r="E48" i="21"/>
  <c r="E6" i="21"/>
  <c r="E14" i="21"/>
  <c r="E20" i="21"/>
  <c r="E29" i="21"/>
  <c r="E36" i="21"/>
  <c r="E46" i="21"/>
  <c r="E44" i="21"/>
  <c r="E7" i="21"/>
  <c r="E25" i="21"/>
  <c r="E38" i="21"/>
  <c r="E40" i="21"/>
  <c r="E30" i="21"/>
  <c r="E8" i="21"/>
  <c r="E26" i="21"/>
  <c r="E51" i="21"/>
  <c r="E47" i="21"/>
  <c r="E13" i="21"/>
  <c r="E24" i="21"/>
  <c r="E52" i="21"/>
  <c r="E18" i="21"/>
  <c r="E2" i="21"/>
  <c r="E15" i="21"/>
  <c r="E33" i="21"/>
  <c r="E19" i="21"/>
  <c r="E16" i="21"/>
  <c r="E53" i="21"/>
  <c r="AN9" i="21"/>
  <c r="AN21" i="21"/>
  <c r="AN7" i="21"/>
  <c r="AN15" i="21"/>
  <c r="AN6" i="21"/>
  <c r="AN5" i="21"/>
  <c r="AN11" i="21"/>
  <c r="AN23" i="21"/>
  <c r="AN4" i="21"/>
  <c r="AN10" i="21"/>
  <c r="AN17" i="21"/>
  <c r="AN13" i="21"/>
  <c r="AN18" i="21"/>
  <c r="AN12" i="21"/>
  <c r="AN32" i="21"/>
  <c r="AN34" i="21"/>
  <c r="AN8" i="21"/>
  <c r="AN25" i="21"/>
  <c r="AN33" i="21"/>
  <c r="AN19" i="21"/>
  <c r="AN27" i="21"/>
  <c r="AN49" i="21"/>
  <c r="AN20" i="21"/>
  <c r="AN24" i="21"/>
  <c r="AN22" i="21"/>
  <c r="AN30" i="21"/>
  <c r="AN26" i="21"/>
  <c r="AN28" i="21"/>
  <c r="AN40" i="21"/>
  <c r="AN38" i="21"/>
  <c r="AN52" i="21"/>
  <c r="AN47" i="21"/>
  <c r="AN29" i="21"/>
  <c r="AN35" i="21"/>
  <c r="AN46" i="21"/>
  <c r="AN14" i="21"/>
  <c r="AN16" i="21"/>
  <c r="AN45" i="21"/>
  <c r="AN43" i="21"/>
  <c r="AN36" i="21"/>
  <c r="AN53" i="21"/>
  <c r="AN51" i="21"/>
  <c r="AN54" i="21"/>
  <c r="AN44" i="21"/>
  <c r="AN39" i="21"/>
  <c r="AN48" i="21"/>
  <c r="AN42" i="21"/>
  <c r="AN31" i="21"/>
  <c r="AN41" i="21"/>
  <c r="AN50" i="21"/>
  <c r="AN37" i="21"/>
  <c r="AN3" i="21"/>
  <c r="AG12" i="21"/>
  <c r="AG22" i="21"/>
  <c r="AG8" i="21"/>
  <c r="AG16" i="21"/>
  <c r="AG7" i="21"/>
  <c r="AG6" i="21"/>
  <c r="AG14" i="21"/>
  <c r="AG20" i="21"/>
  <c r="AG5" i="21"/>
  <c r="AG11" i="21"/>
  <c r="AG23" i="21"/>
  <c r="AG4" i="21"/>
  <c r="AG10" i="21"/>
  <c r="AG17" i="21"/>
  <c r="AG15" i="21"/>
  <c r="AG31" i="21"/>
  <c r="AG35" i="21"/>
  <c r="AG13" i="21"/>
  <c r="AG32" i="21"/>
  <c r="AG34" i="21"/>
  <c r="AG2" i="21"/>
  <c r="AG9" i="21"/>
  <c r="AG25" i="21"/>
  <c r="AG33" i="21"/>
  <c r="AG28" i="21"/>
  <c r="AG43" i="21"/>
  <c r="AG24" i="21"/>
  <c r="AG29" i="21"/>
  <c r="AG41" i="21"/>
  <c r="AG39" i="21"/>
  <c r="AG19" i="21"/>
  <c r="AG27" i="21"/>
  <c r="AG36" i="21"/>
  <c r="AG40" i="21"/>
  <c r="AG38" i="21"/>
  <c r="AG52" i="21"/>
  <c r="AG47" i="21"/>
  <c r="AG30" i="21"/>
  <c r="AG26" i="21"/>
  <c r="AG46" i="21"/>
  <c r="AG50" i="21"/>
  <c r="AG49" i="21"/>
  <c r="AG53" i="21"/>
  <c r="AG44" i="21"/>
  <c r="AG48" i="21"/>
  <c r="AG21" i="21"/>
  <c r="AG42" i="21"/>
  <c r="AG51" i="21"/>
  <c r="AG37" i="21"/>
  <c r="AG54" i="21"/>
  <c r="AG45" i="21"/>
  <c r="AG18" i="21"/>
  <c r="AG3" i="21"/>
  <c r="N2" i="21"/>
  <c r="N5" i="21"/>
  <c r="N7" i="21"/>
  <c r="N9" i="21"/>
  <c r="N13" i="21"/>
  <c r="N11" i="21"/>
  <c r="N15" i="21"/>
  <c r="N21" i="21"/>
  <c r="N18" i="21"/>
  <c r="N23" i="21"/>
  <c r="N19" i="21"/>
  <c r="N28" i="21"/>
  <c r="N25" i="21"/>
  <c r="N31" i="21"/>
  <c r="N26" i="21"/>
  <c r="N43" i="21"/>
  <c r="N33" i="21"/>
  <c r="N35" i="21"/>
  <c r="N52" i="21"/>
  <c r="N41" i="21"/>
  <c r="N53" i="21"/>
  <c r="N45" i="21"/>
  <c r="N47" i="21"/>
  <c r="N39" i="21"/>
  <c r="N51" i="21"/>
  <c r="N48" i="21"/>
  <c r="N6" i="21"/>
  <c r="N14" i="21"/>
  <c r="N20" i="21"/>
  <c r="N29" i="21"/>
  <c r="N36" i="21"/>
  <c r="N46" i="21"/>
  <c r="N44" i="21"/>
  <c r="N3" i="21"/>
  <c r="N8" i="21"/>
  <c r="N16" i="21"/>
  <c r="N30" i="21"/>
  <c r="N24" i="21"/>
  <c r="N40" i="21"/>
  <c r="N38" i="21"/>
  <c r="N12" i="21"/>
  <c r="N22" i="21"/>
  <c r="N27" i="21"/>
  <c r="N49" i="21"/>
  <c r="N37" i="21"/>
  <c r="N54" i="21"/>
  <c r="N4" i="21"/>
  <c r="N10" i="21"/>
  <c r="N34" i="21"/>
  <c r="N50" i="21"/>
  <c r="N32" i="21"/>
  <c r="N17" i="21"/>
  <c r="N42" i="21"/>
  <c r="AF9" i="21"/>
  <c r="AF21" i="21"/>
  <c r="AF7" i="21"/>
  <c r="AF15" i="21"/>
  <c r="AF6" i="21"/>
  <c r="AF5" i="21"/>
  <c r="AF11" i="21"/>
  <c r="AF23" i="21"/>
  <c r="AF4" i="21"/>
  <c r="AF10" i="21"/>
  <c r="AF17" i="21"/>
  <c r="AF2" i="21"/>
  <c r="AF13" i="21"/>
  <c r="AF18" i="21"/>
  <c r="AF32" i="21"/>
  <c r="AF34" i="21"/>
  <c r="AF20" i="21"/>
  <c r="AF25" i="21"/>
  <c r="AF33" i="21"/>
  <c r="AF22" i="21"/>
  <c r="AF27" i="21"/>
  <c r="AF49" i="21"/>
  <c r="AF14" i="21"/>
  <c r="AF24" i="21"/>
  <c r="AF12" i="21"/>
  <c r="AF19" i="21"/>
  <c r="AF26" i="21"/>
  <c r="AF36" i="21"/>
  <c r="AF40" i="21"/>
  <c r="AF38" i="21"/>
  <c r="AF52" i="21"/>
  <c r="AF47" i="21"/>
  <c r="AF16" i="21"/>
  <c r="AF30" i="21"/>
  <c r="AF43" i="21"/>
  <c r="AF46" i="21"/>
  <c r="AF45" i="21"/>
  <c r="AF31" i="21"/>
  <c r="AF28" i="21"/>
  <c r="AF35" i="21"/>
  <c r="AF53" i="21"/>
  <c r="AF51" i="21"/>
  <c r="AF44" i="21"/>
  <c r="AF8" i="21"/>
  <c r="AF41" i="21"/>
  <c r="AF48" i="21"/>
  <c r="AF42" i="21"/>
  <c r="AF50" i="21"/>
  <c r="AF37" i="21"/>
  <c r="AF54" i="21"/>
  <c r="AF39" i="21"/>
  <c r="AF29" i="21"/>
  <c r="AF3" i="21"/>
  <c r="P2" i="21"/>
  <c r="P5" i="21"/>
  <c r="P7" i="21"/>
  <c r="P9" i="21"/>
  <c r="P13" i="21"/>
  <c r="P11" i="21"/>
  <c r="P15" i="21"/>
  <c r="P21" i="21"/>
  <c r="P18" i="21"/>
  <c r="P23" i="21"/>
  <c r="P19" i="21"/>
  <c r="P28" i="21"/>
  <c r="P25" i="21"/>
  <c r="P31" i="21"/>
  <c r="P26" i="21"/>
  <c r="P43" i="21"/>
  <c r="P33" i="21"/>
  <c r="P35" i="21"/>
  <c r="P52" i="21"/>
  <c r="P41" i="21"/>
  <c r="P53" i="21"/>
  <c r="P45" i="21"/>
  <c r="P47" i="21"/>
  <c r="P39" i="21"/>
  <c r="P51" i="21"/>
  <c r="P48" i="21"/>
  <c r="P6" i="21"/>
  <c r="P14" i="21"/>
  <c r="P20" i="21"/>
  <c r="P29" i="21"/>
  <c r="P36" i="21"/>
  <c r="P46" i="21"/>
  <c r="P44" i="21"/>
  <c r="P8" i="21"/>
  <c r="P16" i="21"/>
  <c r="P30" i="21"/>
  <c r="P24" i="21"/>
  <c r="P40" i="21"/>
  <c r="P38" i="21"/>
  <c r="P3" i="21"/>
  <c r="P12" i="21"/>
  <c r="P22" i="21"/>
  <c r="P27" i="21"/>
  <c r="P49" i="21"/>
  <c r="P37" i="21"/>
  <c r="P54" i="21"/>
  <c r="P34" i="21"/>
  <c r="P4" i="21"/>
  <c r="P10" i="21"/>
  <c r="P50" i="21"/>
  <c r="P17" i="21"/>
  <c r="P42" i="21"/>
  <c r="P32" i="21"/>
  <c r="AE8" i="21"/>
  <c r="AE16" i="21"/>
  <c r="AE7" i="21"/>
  <c r="AE6" i="21"/>
  <c r="AE14" i="21"/>
  <c r="AE20" i="21"/>
  <c r="AE5" i="21"/>
  <c r="AE4" i="21"/>
  <c r="AE10" i="21"/>
  <c r="AE17" i="21"/>
  <c r="AE2" i="21"/>
  <c r="AE13" i="21"/>
  <c r="AE18" i="21"/>
  <c r="AE12" i="21"/>
  <c r="AE22" i="21"/>
  <c r="AE11" i="21"/>
  <c r="AE25" i="21"/>
  <c r="AE33" i="21"/>
  <c r="AE9" i="21"/>
  <c r="AE27" i="21"/>
  <c r="AE49" i="21"/>
  <c r="AE28" i="21"/>
  <c r="AE43" i="21"/>
  <c r="AE19" i="21"/>
  <c r="AE26" i="21"/>
  <c r="AE23" i="21"/>
  <c r="AE30" i="21"/>
  <c r="AE29" i="21"/>
  <c r="AE32" i="21"/>
  <c r="AE52" i="21"/>
  <c r="AE47" i="21"/>
  <c r="AE46" i="21"/>
  <c r="AE45" i="21"/>
  <c r="AE31" i="21"/>
  <c r="AE50" i="21"/>
  <c r="AE35" i="21"/>
  <c r="AE34" i="21"/>
  <c r="AE37" i="21"/>
  <c r="AE54" i="21"/>
  <c r="AE15" i="21"/>
  <c r="AE41" i="21"/>
  <c r="AE48" i="21"/>
  <c r="AE42" i="21"/>
  <c r="AE21" i="21"/>
  <c r="AE24" i="21"/>
  <c r="AE38" i="21"/>
  <c r="AE51" i="21"/>
  <c r="AE44" i="21"/>
  <c r="AE40" i="21"/>
  <c r="AE53" i="21"/>
  <c r="AE39" i="21"/>
  <c r="AE36" i="21"/>
  <c r="AE3" i="21"/>
  <c r="AD7" i="21"/>
  <c r="AD15" i="21"/>
  <c r="AD19" i="21"/>
  <c r="AD6" i="21"/>
  <c r="AD5" i="21"/>
  <c r="AD11" i="21"/>
  <c r="AD23" i="21"/>
  <c r="AD4" i="21"/>
  <c r="AD2" i="21"/>
  <c r="AD13" i="21"/>
  <c r="AD18" i="21"/>
  <c r="AD12" i="21"/>
  <c r="AD22" i="21"/>
  <c r="AD9" i="21"/>
  <c r="AD21" i="21"/>
  <c r="AD20" i="21"/>
  <c r="AD27" i="21"/>
  <c r="AD49" i="21"/>
  <c r="AD17" i="21"/>
  <c r="AD28" i="21"/>
  <c r="AD43" i="21"/>
  <c r="AD16" i="21"/>
  <c r="AD24" i="21"/>
  <c r="AD10" i="21"/>
  <c r="AD30" i="21"/>
  <c r="AD29" i="21"/>
  <c r="AD8" i="21"/>
  <c r="AD31" i="21"/>
  <c r="AD46" i="21"/>
  <c r="AD14" i="21"/>
  <c r="AD33" i="21"/>
  <c r="AD45" i="21"/>
  <c r="AD26" i="21"/>
  <c r="AD50" i="21"/>
  <c r="AD35" i="21"/>
  <c r="AD53" i="21"/>
  <c r="AD51" i="21"/>
  <c r="AD25" i="21"/>
  <c r="AD34" i="21"/>
  <c r="AD41" i="21"/>
  <c r="AD39" i="21"/>
  <c r="AD42" i="21"/>
  <c r="AD38" i="21"/>
  <c r="AD37" i="21"/>
  <c r="AD54" i="21"/>
  <c r="AD40" i="21"/>
  <c r="AD36" i="21"/>
  <c r="AD47" i="21"/>
  <c r="AD44" i="21"/>
  <c r="AD52" i="21"/>
  <c r="AD48" i="21"/>
  <c r="AD3" i="21"/>
  <c r="AD32" i="21"/>
  <c r="AK6" i="21"/>
  <c r="AK14" i="21"/>
  <c r="AK20" i="21"/>
  <c r="AK5" i="21"/>
  <c r="AK4" i="21"/>
  <c r="AK10" i="21"/>
  <c r="AK17" i="21"/>
  <c r="AK2" i="21"/>
  <c r="AK12" i="21"/>
  <c r="AK22" i="21"/>
  <c r="AK9" i="21"/>
  <c r="AK21" i="21"/>
  <c r="AK8" i="21"/>
  <c r="AK16" i="21"/>
  <c r="AK30" i="21"/>
  <c r="AK18" i="21"/>
  <c r="AK28" i="21"/>
  <c r="AK43" i="21"/>
  <c r="AK15" i="21"/>
  <c r="AK24" i="21"/>
  <c r="AK7" i="21"/>
  <c r="AK11" i="21"/>
  <c r="AK26" i="21"/>
  <c r="AK31" i="21"/>
  <c r="AK32" i="21"/>
  <c r="AK34" i="21"/>
  <c r="AK49" i="21"/>
  <c r="AK45" i="21"/>
  <c r="AK23" i="21"/>
  <c r="AK29" i="21"/>
  <c r="AK50" i="21"/>
  <c r="AK19" i="21"/>
  <c r="AK36" i="21"/>
  <c r="AK53" i="21"/>
  <c r="AK27" i="21"/>
  <c r="AK33" i="21"/>
  <c r="AK37" i="21"/>
  <c r="AK54" i="21"/>
  <c r="AK13" i="21"/>
  <c r="AK40" i="21"/>
  <c r="AK38" i="21"/>
  <c r="AK47" i="21"/>
  <c r="AK41" i="21"/>
  <c r="AK35" i="21"/>
  <c r="AK25" i="21"/>
  <c r="AK52" i="21"/>
  <c r="AK51" i="21"/>
  <c r="AK48" i="21"/>
  <c r="AK3" i="21"/>
  <c r="AK44" i="21"/>
  <c r="AK42" i="21"/>
  <c r="AK46" i="21"/>
  <c r="AK39" i="21"/>
  <c r="C6" i="21"/>
  <c r="C12" i="21"/>
  <c r="C14" i="21"/>
  <c r="C22" i="21"/>
  <c r="C20" i="21"/>
  <c r="C27" i="21"/>
  <c r="C29" i="21"/>
  <c r="C49" i="21"/>
  <c r="C36" i="21"/>
  <c r="C37" i="21"/>
  <c r="C46" i="21"/>
  <c r="C54" i="21"/>
  <c r="C44" i="21"/>
  <c r="C2" i="21"/>
  <c r="C7" i="21"/>
  <c r="C13" i="21"/>
  <c r="C15" i="21"/>
  <c r="C18" i="21"/>
  <c r="C19" i="21"/>
  <c r="C25" i="21"/>
  <c r="C26" i="21"/>
  <c r="C33" i="21"/>
  <c r="C52" i="21"/>
  <c r="C53" i="21"/>
  <c r="C47" i="21"/>
  <c r="C51" i="21"/>
  <c r="C4" i="21"/>
  <c r="C8" i="21"/>
  <c r="C10" i="21"/>
  <c r="C16" i="21"/>
  <c r="C17" i="21"/>
  <c r="C30" i="21"/>
  <c r="C32" i="21"/>
  <c r="C24" i="21"/>
  <c r="C34" i="21"/>
  <c r="C40" i="21"/>
  <c r="C50" i="21"/>
  <c r="C38" i="21"/>
  <c r="C42" i="21"/>
  <c r="C48" i="21"/>
  <c r="C5" i="21"/>
  <c r="C31" i="21"/>
  <c r="C9" i="21"/>
  <c r="C21" i="21"/>
  <c r="C28" i="21"/>
  <c r="C43" i="21"/>
  <c r="C41" i="21"/>
  <c r="C3" i="21"/>
  <c r="C39" i="21"/>
  <c r="C23" i="21"/>
  <c r="C45" i="21"/>
  <c r="C11" i="21"/>
  <c r="C35" i="21"/>
  <c r="Q12" i="21"/>
  <c r="Q22" i="21"/>
  <c r="Q8" i="21"/>
  <c r="Q16" i="21"/>
  <c r="Q7" i="21"/>
  <c r="Q6" i="21"/>
  <c r="Q14" i="21"/>
  <c r="Q20" i="21"/>
  <c r="Q5" i="21"/>
  <c r="Q11" i="21"/>
  <c r="Q23" i="21"/>
  <c r="Q4" i="21"/>
  <c r="Q10" i="21"/>
  <c r="Q17" i="21"/>
  <c r="Q2" i="21"/>
  <c r="Q18" i="21"/>
  <c r="Q31" i="21"/>
  <c r="Q35" i="21"/>
  <c r="Q21" i="21"/>
  <c r="Q30" i="21"/>
  <c r="Q32" i="21"/>
  <c r="Q34" i="21"/>
  <c r="Q15" i="21"/>
  <c r="Q25" i="21"/>
  <c r="Q33" i="21"/>
  <c r="Q9" i="21"/>
  <c r="Q28" i="21"/>
  <c r="Q43" i="21"/>
  <c r="Q24" i="21"/>
  <c r="Q49" i="21"/>
  <c r="Q41" i="21"/>
  <c r="Q39" i="21"/>
  <c r="Q40" i="21"/>
  <c r="Q38" i="21"/>
  <c r="Q13" i="21"/>
  <c r="Q29" i="21"/>
  <c r="Q47" i="21"/>
  <c r="Q27" i="21"/>
  <c r="Q52" i="21"/>
  <c r="Q46" i="21"/>
  <c r="Q26" i="21"/>
  <c r="Q50" i="21"/>
  <c r="Q19" i="21"/>
  <c r="Q45" i="21"/>
  <c r="Q44" i="21"/>
  <c r="Q53" i="21"/>
  <c r="Q48" i="21"/>
  <c r="Q51" i="21"/>
  <c r="Q42" i="21"/>
  <c r="Q3" i="21"/>
  <c r="Q54" i="21"/>
  <c r="Q36" i="21"/>
  <c r="Q37" i="21"/>
  <c r="M2" i="21"/>
  <c r="M5" i="21"/>
  <c r="M7" i="21"/>
  <c r="M9" i="21"/>
  <c r="M13" i="21"/>
  <c r="M11" i="21"/>
  <c r="M15" i="21"/>
  <c r="M21" i="21"/>
  <c r="M18" i="21"/>
  <c r="M23" i="21"/>
  <c r="M19" i="21"/>
  <c r="M28" i="21"/>
  <c r="M25" i="21"/>
  <c r="M31" i="21"/>
  <c r="M26" i="21"/>
  <c r="M43" i="21"/>
  <c r="M33" i="21"/>
  <c r="M35" i="21"/>
  <c r="M52" i="21"/>
  <c r="M41" i="21"/>
  <c r="M53" i="21"/>
  <c r="M45" i="21"/>
  <c r="M47" i="21"/>
  <c r="M39" i="21"/>
  <c r="M51" i="21"/>
  <c r="M48" i="21"/>
  <c r="M4" i="21"/>
  <c r="M6" i="21"/>
  <c r="M8" i="21"/>
  <c r="M12" i="21"/>
  <c r="M10" i="21"/>
  <c r="M14" i="21"/>
  <c r="M16" i="21"/>
  <c r="M22" i="21"/>
  <c r="M17" i="21"/>
  <c r="M20" i="21"/>
  <c r="M30" i="21"/>
  <c r="M27" i="21"/>
  <c r="M32" i="21"/>
  <c r="M29" i="21"/>
  <c r="M24" i="21"/>
  <c r="M49" i="21"/>
  <c r="M34" i="21"/>
  <c r="M36" i="21"/>
  <c r="M40" i="21"/>
  <c r="M37" i="21"/>
  <c r="M50" i="21"/>
  <c r="M46" i="21"/>
  <c r="M38" i="21"/>
  <c r="M54" i="21"/>
  <c r="M42" i="21"/>
  <c r="M44" i="21"/>
  <c r="M3" i="21"/>
  <c r="AJ5" i="21"/>
  <c r="AJ11" i="21"/>
  <c r="AJ23" i="21"/>
  <c r="AJ4" i="21"/>
  <c r="AJ2" i="21"/>
  <c r="AJ13" i="21"/>
  <c r="AJ18" i="21"/>
  <c r="AJ9" i="21"/>
  <c r="AJ21" i="21"/>
  <c r="AJ8" i="21"/>
  <c r="AJ16" i="21"/>
  <c r="AJ7" i="21"/>
  <c r="AJ15" i="21"/>
  <c r="AJ19" i="21"/>
  <c r="AJ24" i="21"/>
  <c r="AJ26" i="21"/>
  <c r="AJ20" i="21"/>
  <c r="AJ30" i="21"/>
  <c r="AJ29" i="21"/>
  <c r="AJ36" i="21"/>
  <c r="AJ22" i="21"/>
  <c r="AJ32" i="21"/>
  <c r="AJ34" i="21"/>
  <c r="AJ14" i="21"/>
  <c r="AJ25" i="21"/>
  <c r="AJ33" i="21"/>
  <c r="AJ50" i="21"/>
  <c r="AJ12" i="21"/>
  <c r="AJ10" i="21"/>
  <c r="AJ53" i="21"/>
  <c r="AJ51" i="21"/>
  <c r="AJ27" i="21"/>
  <c r="AJ37" i="21"/>
  <c r="AJ41" i="21"/>
  <c r="AJ39" i="21"/>
  <c r="AJ6" i="21"/>
  <c r="AJ17" i="21"/>
  <c r="AJ43" i="21"/>
  <c r="AJ31" i="21"/>
  <c r="AJ52" i="21"/>
  <c r="AJ47" i="21"/>
  <c r="AJ49" i="21"/>
  <c r="AJ45" i="21"/>
  <c r="AJ35" i="21"/>
  <c r="AJ38" i="21"/>
  <c r="AJ46" i="21"/>
  <c r="AJ44" i="21"/>
  <c r="AJ40" i="21"/>
  <c r="AJ54" i="21"/>
  <c r="AJ42" i="21"/>
  <c r="AJ48" i="21"/>
  <c r="AJ28" i="21"/>
  <c r="AJ3" i="21"/>
  <c r="U6" i="21"/>
  <c r="U14" i="21"/>
  <c r="U20" i="21"/>
  <c r="U5" i="21"/>
  <c r="U4" i="21"/>
  <c r="U10" i="21"/>
  <c r="U17" i="21"/>
  <c r="U2" i="21"/>
  <c r="U12" i="21"/>
  <c r="U22" i="21"/>
  <c r="U9" i="21"/>
  <c r="U21" i="21"/>
  <c r="U8" i="21"/>
  <c r="U16" i="21"/>
  <c r="U30" i="21"/>
  <c r="U7" i="21"/>
  <c r="U19" i="21"/>
  <c r="U28" i="21"/>
  <c r="U43" i="21"/>
  <c r="U23" i="21"/>
  <c r="U24" i="21"/>
  <c r="U18" i="21"/>
  <c r="U26" i="21"/>
  <c r="U52" i="21"/>
  <c r="U11" i="21"/>
  <c r="U31" i="21"/>
  <c r="U13" i="21"/>
  <c r="U32" i="21"/>
  <c r="U34" i="21"/>
  <c r="U25" i="21"/>
  <c r="U36" i="21"/>
  <c r="U45" i="21"/>
  <c r="U50" i="21"/>
  <c r="U42" i="21"/>
  <c r="U49" i="21"/>
  <c r="U53" i="21"/>
  <c r="U29" i="21"/>
  <c r="U37" i="21"/>
  <c r="U54" i="21"/>
  <c r="U15" i="21"/>
  <c r="U27" i="21"/>
  <c r="U33" i="21"/>
  <c r="U35" i="21"/>
  <c r="U40" i="21"/>
  <c r="U38" i="21"/>
  <c r="U39" i="21"/>
  <c r="U47" i="21"/>
  <c r="U41" i="21"/>
  <c r="U51" i="21"/>
  <c r="U48" i="21"/>
  <c r="U3" i="21"/>
  <c r="U46" i="21"/>
  <c r="U44" i="21"/>
  <c r="O2" i="21"/>
  <c r="O5" i="21"/>
  <c r="O7" i="21"/>
  <c r="O9" i="21"/>
  <c r="O13" i="21"/>
  <c r="O11" i="21"/>
  <c r="O15" i="21"/>
  <c r="O21" i="21"/>
  <c r="O18" i="21"/>
  <c r="O23" i="21"/>
  <c r="O19" i="21"/>
  <c r="O28" i="21"/>
  <c r="O25" i="21"/>
  <c r="O31" i="21"/>
  <c r="O26" i="21"/>
  <c r="O43" i="21"/>
  <c r="O33" i="21"/>
  <c r="O35" i="21"/>
  <c r="O52" i="21"/>
  <c r="O41" i="21"/>
  <c r="O53" i="21"/>
  <c r="O45" i="21"/>
  <c r="O47" i="21"/>
  <c r="O39" i="21"/>
  <c r="O51" i="21"/>
  <c r="O48" i="21"/>
  <c r="O4" i="21"/>
  <c r="O6" i="21"/>
  <c r="O8" i="21"/>
  <c r="O12" i="21"/>
  <c r="O10" i="21"/>
  <c r="O14" i="21"/>
  <c r="O16" i="21"/>
  <c r="O22" i="21"/>
  <c r="O17" i="21"/>
  <c r="O20" i="21"/>
  <c r="O30" i="21"/>
  <c r="O27" i="21"/>
  <c r="O32" i="21"/>
  <c r="O29" i="21"/>
  <c r="O24" i="21"/>
  <c r="O49" i="21"/>
  <c r="O34" i="21"/>
  <c r="O36" i="21"/>
  <c r="O40" i="21"/>
  <c r="O37" i="21"/>
  <c r="O50" i="21"/>
  <c r="O46" i="21"/>
  <c r="O38" i="21"/>
  <c r="O54" i="21"/>
  <c r="O42" i="21"/>
  <c r="O44" i="21"/>
  <c r="O3" i="21"/>
  <c r="W8" i="21"/>
  <c r="W16" i="21"/>
  <c r="W7" i="21"/>
  <c r="W6" i="21"/>
  <c r="W14" i="21"/>
  <c r="W20" i="21"/>
  <c r="W5" i="21"/>
  <c r="W4" i="21"/>
  <c r="W10" i="21"/>
  <c r="W17" i="21"/>
  <c r="W2" i="21"/>
  <c r="W13" i="21"/>
  <c r="W18" i="21"/>
  <c r="W12" i="21"/>
  <c r="W22" i="21"/>
  <c r="W25" i="21"/>
  <c r="W33" i="21"/>
  <c r="W19" i="21"/>
  <c r="W27" i="21"/>
  <c r="W49" i="21"/>
  <c r="W23" i="21"/>
  <c r="W28" i="21"/>
  <c r="W43" i="21"/>
  <c r="W15" i="21"/>
  <c r="W26" i="21"/>
  <c r="W11" i="21"/>
  <c r="W29" i="21"/>
  <c r="W31" i="21"/>
  <c r="W52" i="21"/>
  <c r="W47" i="21"/>
  <c r="W46" i="21"/>
  <c r="W9" i="21"/>
  <c r="W34" i="21"/>
  <c r="W36" i="21"/>
  <c r="W45" i="21"/>
  <c r="W24" i="21"/>
  <c r="W50" i="21"/>
  <c r="W21" i="21"/>
  <c r="W32" i="21"/>
  <c r="W37" i="21"/>
  <c r="W54" i="21"/>
  <c r="W48" i="21"/>
  <c r="W35" i="21"/>
  <c r="W42" i="21"/>
  <c r="W39" i="21"/>
  <c r="W30" i="21"/>
  <c r="W40" i="21"/>
  <c r="W53" i="21"/>
  <c r="W38" i="21"/>
  <c r="W51" i="21"/>
  <c r="W41" i="21"/>
  <c r="W44" i="21"/>
  <c r="W3" i="21"/>
  <c r="G9" i="21"/>
  <c r="G21" i="21"/>
  <c r="G28" i="21"/>
  <c r="G43" i="21"/>
  <c r="G41" i="21"/>
  <c r="G39" i="21"/>
  <c r="G12" i="21"/>
  <c r="G22" i="21"/>
  <c r="G27" i="21"/>
  <c r="G49" i="21"/>
  <c r="G37" i="21"/>
  <c r="G54" i="21"/>
  <c r="G2" i="21"/>
  <c r="G18" i="21"/>
  <c r="G25" i="21"/>
  <c r="G53" i="21"/>
  <c r="G13" i="21"/>
  <c r="G33" i="21"/>
  <c r="G51" i="21"/>
  <c r="G4" i="21"/>
  <c r="G10" i="21"/>
  <c r="G17" i="21"/>
  <c r="G32" i="21"/>
  <c r="G34" i="21"/>
  <c r="G50" i="21"/>
  <c r="G42" i="21"/>
  <c r="G5" i="21"/>
  <c r="G11" i="21"/>
  <c r="G23" i="21"/>
  <c r="G31" i="21"/>
  <c r="G35" i="21"/>
  <c r="G45" i="21"/>
  <c r="G48" i="21"/>
  <c r="G6" i="21"/>
  <c r="G14" i="21"/>
  <c r="G20" i="21"/>
  <c r="G29" i="21"/>
  <c r="G36" i="21"/>
  <c r="G46" i="21"/>
  <c r="G44" i="21"/>
  <c r="G30" i="21"/>
  <c r="G26" i="21"/>
  <c r="G24" i="21"/>
  <c r="G8" i="21"/>
  <c r="G15" i="21"/>
  <c r="G7" i="21"/>
  <c r="G52" i="21"/>
  <c r="G40" i="21"/>
  <c r="G3" i="21"/>
  <c r="G47" i="21"/>
  <c r="G19" i="21"/>
  <c r="G16" i="21"/>
  <c r="G38" i="21"/>
  <c r="AM8" i="21"/>
  <c r="AM16" i="21"/>
  <c r="AM7" i="21"/>
  <c r="AM6" i="21"/>
  <c r="AM14" i="21"/>
  <c r="AM20" i="21"/>
  <c r="AM5" i="21"/>
  <c r="AM4" i="21"/>
  <c r="AM10" i="21"/>
  <c r="AM17" i="21"/>
  <c r="AM2" i="21"/>
  <c r="AM13" i="21"/>
  <c r="AM18" i="21"/>
  <c r="AM12" i="21"/>
  <c r="AM22" i="21"/>
  <c r="AM23" i="21"/>
  <c r="AM25" i="21"/>
  <c r="AM33" i="21"/>
  <c r="AM21" i="21"/>
  <c r="AM19" i="21"/>
  <c r="AM27" i="21"/>
  <c r="AM49" i="21"/>
  <c r="AM15" i="21"/>
  <c r="AM28" i="21"/>
  <c r="AM43" i="21"/>
  <c r="AM9" i="21"/>
  <c r="AM30" i="21"/>
  <c r="AM26" i="21"/>
  <c r="AM29" i="21"/>
  <c r="AM34" i="21"/>
  <c r="AM52" i="21"/>
  <c r="AM47" i="21"/>
  <c r="AM24" i="21"/>
  <c r="AM35" i="21"/>
  <c r="AM46" i="21"/>
  <c r="AM45" i="21"/>
  <c r="AM32" i="21"/>
  <c r="AM50" i="21"/>
  <c r="AM36" i="21"/>
  <c r="AM37" i="21"/>
  <c r="AM54" i="21"/>
  <c r="AM40" i="21"/>
  <c r="AM39" i="21"/>
  <c r="AM48" i="21"/>
  <c r="AM42" i="21"/>
  <c r="AM31" i="21"/>
  <c r="AM53" i="21"/>
  <c r="AM41" i="21"/>
  <c r="AM11" i="21"/>
  <c r="AM38" i="21"/>
  <c r="AM44" i="21"/>
  <c r="AM51" i="21"/>
  <c r="AM3" i="21"/>
  <c r="K8" i="21"/>
  <c r="K16" i="21"/>
  <c r="K30" i="21"/>
  <c r="K24" i="21"/>
  <c r="K40" i="21"/>
  <c r="K38" i="21"/>
  <c r="K9" i="21"/>
  <c r="K21" i="21"/>
  <c r="K28" i="21"/>
  <c r="K43" i="21"/>
  <c r="K41" i="21"/>
  <c r="K39" i="21"/>
  <c r="K2" i="21"/>
  <c r="K13" i="21"/>
  <c r="K5" i="21"/>
  <c r="K11" i="21"/>
  <c r="K23" i="21"/>
  <c r="K31" i="21"/>
  <c r="K35" i="21"/>
  <c r="K45" i="21"/>
  <c r="K48" i="21"/>
  <c r="K12" i="21"/>
  <c r="K19" i="21"/>
  <c r="K34" i="21"/>
  <c r="K54" i="21"/>
  <c r="K10" i="21"/>
  <c r="K27" i="21"/>
  <c r="K36" i="21"/>
  <c r="K51" i="21"/>
  <c r="K14" i="21"/>
  <c r="K25" i="21"/>
  <c r="K52" i="21"/>
  <c r="K42" i="21"/>
  <c r="K15" i="21"/>
  <c r="K32" i="21"/>
  <c r="K37" i="21"/>
  <c r="K44" i="21"/>
  <c r="K22" i="21"/>
  <c r="K29" i="21"/>
  <c r="K53" i="21"/>
  <c r="K4" i="21"/>
  <c r="K18" i="21"/>
  <c r="K26" i="21"/>
  <c r="K50" i="21"/>
  <c r="K47" i="21"/>
  <c r="K6" i="21"/>
  <c r="K7" i="21"/>
  <c r="K49" i="21"/>
  <c r="K46" i="21"/>
  <c r="K17" i="21"/>
  <c r="K20" i="21"/>
  <c r="K3" i="21"/>
  <c r="K33" i="21"/>
  <c r="AS6" i="21"/>
  <c r="AS14" i="21"/>
  <c r="AS20" i="21"/>
  <c r="AS5" i="21"/>
  <c r="AS4" i="21"/>
  <c r="AS10" i="21"/>
  <c r="AS17" i="21"/>
  <c r="AS2" i="21"/>
  <c r="AS12" i="21"/>
  <c r="AS22" i="21"/>
  <c r="AS9" i="21"/>
  <c r="AS21" i="21"/>
  <c r="AS8" i="21"/>
  <c r="AS16" i="21"/>
  <c r="AS30" i="21"/>
  <c r="AS28" i="21"/>
  <c r="AS43" i="21"/>
  <c r="AS24" i="21"/>
  <c r="AS23" i="21"/>
  <c r="AS26" i="21"/>
  <c r="AS15" i="21"/>
  <c r="AS31" i="21"/>
  <c r="AS11" i="21"/>
  <c r="AS32" i="21"/>
  <c r="AS34" i="21"/>
  <c r="AS36" i="21"/>
  <c r="AS45" i="21"/>
  <c r="AS18" i="21"/>
  <c r="AS25" i="21"/>
  <c r="AS50" i="21"/>
  <c r="AS53" i="21"/>
  <c r="AS49" i="21"/>
  <c r="AS37" i="21"/>
  <c r="AS54" i="21"/>
  <c r="AS19" i="21"/>
  <c r="AS29" i="21"/>
  <c r="AS35" i="21"/>
  <c r="AS40" i="21"/>
  <c r="AS38" i="21"/>
  <c r="AS7" i="21"/>
  <c r="AS52" i="21"/>
  <c r="AS46" i="21"/>
  <c r="AS27" i="21"/>
  <c r="AS51" i="21"/>
  <c r="AS47" i="21"/>
  <c r="AS39" i="21"/>
  <c r="AS13" i="21"/>
  <c r="AS33" i="21"/>
  <c r="AS48" i="21"/>
  <c r="AS3" i="21"/>
  <c r="AS44" i="21"/>
  <c r="AS42" i="21"/>
  <c r="AS41" i="21"/>
  <c r="AO12" i="21"/>
  <c r="AO22" i="21"/>
  <c r="AO8" i="21"/>
  <c r="AO16" i="21"/>
  <c r="AO7" i="21"/>
  <c r="AO6" i="21"/>
  <c r="AO14" i="21"/>
  <c r="AO20" i="21"/>
  <c r="AO5" i="21"/>
  <c r="AO11" i="21"/>
  <c r="AO23" i="21"/>
  <c r="AO4" i="21"/>
  <c r="AO10" i="21"/>
  <c r="AO17" i="21"/>
  <c r="AO31" i="21"/>
  <c r="AO35" i="21"/>
  <c r="AO18" i="21"/>
  <c r="AO32" i="21"/>
  <c r="AO34" i="21"/>
  <c r="AO21" i="21"/>
  <c r="AO25" i="21"/>
  <c r="AO33" i="21"/>
  <c r="AO13" i="21"/>
  <c r="AO28" i="21"/>
  <c r="AO43" i="21"/>
  <c r="AO9" i="21"/>
  <c r="AO24" i="21"/>
  <c r="AO2" i="21"/>
  <c r="AO41" i="21"/>
  <c r="AO39" i="21"/>
  <c r="AO49" i="21"/>
  <c r="AO40" i="21"/>
  <c r="AO38" i="21"/>
  <c r="AO52" i="21"/>
  <c r="AO47" i="21"/>
  <c r="AO19" i="21"/>
  <c r="AO29" i="21"/>
  <c r="AO46" i="21"/>
  <c r="AO27" i="21"/>
  <c r="AO30" i="21"/>
  <c r="AO50" i="21"/>
  <c r="AO26" i="21"/>
  <c r="AO36" i="21"/>
  <c r="AO37" i="21"/>
  <c r="AO51" i="21"/>
  <c r="AO15" i="21"/>
  <c r="AO54" i="21"/>
  <c r="AO44" i="21"/>
  <c r="AO45" i="21"/>
  <c r="AO48" i="21"/>
  <c r="AO53" i="21"/>
  <c r="AO42" i="21"/>
  <c r="AO3" i="21"/>
  <c r="AA4" i="21"/>
  <c r="AA10" i="21"/>
  <c r="AA17" i="21"/>
  <c r="AA2" i="21"/>
  <c r="AA12" i="21"/>
  <c r="AA22" i="21"/>
  <c r="AA8" i="21"/>
  <c r="AA16" i="21"/>
  <c r="AA7" i="21"/>
  <c r="AA15" i="21"/>
  <c r="AA19" i="21"/>
  <c r="AA6" i="21"/>
  <c r="AA14" i="21"/>
  <c r="AA20" i="21"/>
  <c r="AA9" i="21"/>
  <c r="AA26" i="21"/>
  <c r="AA5" i="21"/>
  <c r="AA29" i="21"/>
  <c r="AA36" i="21"/>
  <c r="AA30" i="21"/>
  <c r="AA31" i="21"/>
  <c r="AA35" i="21"/>
  <c r="AA18" i="21"/>
  <c r="AA25" i="21"/>
  <c r="AA33" i="21"/>
  <c r="AA21" i="21"/>
  <c r="AA27" i="21"/>
  <c r="AA49" i="21"/>
  <c r="AA43" i="21"/>
  <c r="AA53" i="21"/>
  <c r="AA51" i="21"/>
  <c r="AA37" i="21"/>
  <c r="AA54" i="21"/>
  <c r="AA41" i="21"/>
  <c r="AA39" i="21"/>
  <c r="AA28" i="21"/>
  <c r="AA34" i="21"/>
  <c r="AA40" i="21"/>
  <c r="AA38" i="21"/>
  <c r="AA13" i="21"/>
  <c r="AA11" i="21"/>
  <c r="AA52" i="21"/>
  <c r="AA24" i="21"/>
  <c r="AA46" i="21"/>
  <c r="AA50" i="21"/>
  <c r="AA44" i="21"/>
  <c r="AA47" i="21"/>
  <c r="AA48" i="21"/>
  <c r="AA32" i="21"/>
  <c r="AA45" i="21"/>
  <c r="AA42" i="21"/>
  <c r="AA23" i="21"/>
  <c r="AA3" i="21"/>
  <c r="R2" i="21"/>
  <c r="R13" i="21"/>
  <c r="R18" i="21"/>
  <c r="R9" i="21"/>
  <c r="R21" i="21"/>
  <c r="R8" i="21"/>
  <c r="R7" i="21"/>
  <c r="R15" i="21"/>
  <c r="R19" i="21"/>
  <c r="R6" i="21"/>
  <c r="R14" i="21"/>
  <c r="R20" i="21"/>
  <c r="R5" i="21"/>
  <c r="R11" i="21"/>
  <c r="R23" i="21"/>
  <c r="R12" i="21"/>
  <c r="R29" i="21"/>
  <c r="R36" i="21"/>
  <c r="R31" i="21"/>
  <c r="R35" i="21"/>
  <c r="R30" i="21"/>
  <c r="R32" i="21"/>
  <c r="R34" i="21"/>
  <c r="R4" i="21"/>
  <c r="R17" i="21"/>
  <c r="R27" i="21"/>
  <c r="R49" i="21"/>
  <c r="R22" i="21"/>
  <c r="R28" i="21"/>
  <c r="R43" i="21"/>
  <c r="R16" i="21"/>
  <c r="R37" i="21"/>
  <c r="R54" i="21"/>
  <c r="R24" i="21"/>
  <c r="R41" i="21"/>
  <c r="R39" i="21"/>
  <c r="R40" i="21"/>
  <c r="R38" i="21"/>
  <c r="R47" i="21"/>
  <c r="R33" i="21"/>
  <c r="R52" i="21"/>
  <c r="R45" i="21"/>
  <c r="R44" i="21"/>
  <c r="R25" i="21"/>
  <c r="R53" i="21"/>
  <c r="R48" i="21"/>
  <c r="R26" i="21"/>
  <c r="R50" i="21"/>
  <c r="R10" i="21"/>
  <c r="R46" i="21"/>
  <c r="R51" i="21"/>
  <c r="R3" i="21"/>
  <c r="R42" i="21"/>
  <c r="F5" i="21"/>
  <c r="F11" i="21"/>
  <c r="F23" i="21"/>
  <c r="F31" i="21"/>
  <c r="F35" i="21"/>
  <c r="F45" i="21"/>
  <c r="F48" i="21"/>
  <c r="F6" i="21"/>
  <c r="F14" i="21"/>
  <c r="F20" i="21"/>
  <c r="F29" i="21"/>
  <c r="F36" i="21"/>
  <c r="F46" i="21"/>
  <c r="F44" i="21"/>
  <c r="F3" i="21"/>
  <c r="F7" i="21"/>
  <c r="F15" i="21"/>
  <c r="F26" i="21"/>
  <c r="F19" i="21"/>
  <c r="F8" i="21"/>
  <c r="F16" i="21"/>
  <c r="F30" i="21"/>
  <c r="F24" i="21"/>
  <c r="F40" i="21"/>
  <c r="F38" i="21"/>
  <c r="F9" i="21"/>
  <c r="F21" i="21"/>
  <c r="F28" i="21"/>
  <c r="F43" i="21"/>
  <c r="F41" i="21"/>
  <c r="F39" i="21"/>
  <c r="F12" i="21"/>
  <c r="F22" i="21"/>
  <c r="F27" i="21"/>
  <c r="F49" i="21"/>
  <c r="F37" i="21"/>
  <c r="F54" i="21"/>
  <c r="F4" i="21"/>
  <c r="F34" i="21"/>
  <c r="F51" i="21"/>
  <c r="F42" i="21"/>
  <c r="F33" i="21"/>
  <c r="F13" i="21"/>
  <c r="F52" i="21"/>
  <c r="F2" i="21"/>
  <c r="F10" i="21"/>
  <c r="F53" i="21"/>
  <c r="F47" i="21"/>
  <c r="F25" i="21"/>
  <c r="F18" i="21"/>
  <c r="F50" i="21"/>
  <c r="F17" i="21"/>
  <c r="F32" i="21"/>
  <c r="T5" i="21"/>
  <c r="T11" i="21"/>
  <c r="T23" i="21"/>
  <c r="T4" i="21"/>
  <c r="T2" i="21"/>
  <c r="T13" i="21"/>
  <c r="T18" i="21"/>
  <c r="T9" i="21"/>
  <c r="T21" i="21"/>
  <c r="T8" i="21"/>
  <c r="T16" i="21"/>
  <c r="T7" i="21"/>
  <c r="T15" i="21"/>
  <c r="T19" i="21"/>
  <c r="T10" i="21"/>
  <c r="T24" i="21"/>
  <c r="T12" i="21"/>
  <c r="T26" i="21"/>
  <c r="T29" i="21"/>
  <c r="T36" i="21"/>
  <c r="T6" i="21"/>
  <c r="T20" i="21"/>
  <c r="T30" i="21"/>
  <c r="T32" i="21"/>
  <c r="T34" i="21"/>
  <c r="T17" i="21"/>
  <c r="T25" i="21"/>
  <c r="T33" i="21"/>
  <c r="T14" i="21"/>
  <c r="T50" i="21"/>
  <c r="T22" i="21"/>
  <c r="T28" i="21"/>
  <c r="T49" i="21"/>
  <c r="T53" i="21"/>
  <c r="T51" i="21"/>
  <c r="T37" i="21"/>
  <c r="T41" i="21"/>
  <c r="T39" i="21"/>
  <c r="T27" i="21"/>
  <c r="T35" i="21"/>
  <c r="T40" i="21"/>
  <c r="T47" i="21"/>
  <c r="T31" i="21"/>
  <c r="T52" i="21"/>
  <c r="T45" i="21"/>
  <c r="T43" i="21"/>
  <c r="T44" i="21"/>
  <c r="T46" i="21"/>
  <c r="T54" i="21"/>
  <c r="T38" i="21"/>
  <c r="T48" i="21"/>
  <c r="T3" i="21"/>
  <c r="T42" i="21"/>
  <c r="Y12" i="21"/>
  <c r="Y22" i="21"/>
  <c r="Y8" i="21"/>
  <c r="Y16" i="21"/>
  <c r="Y7" i="21"/>
  <c r="Y6" i="21"/>
  <c r="Y14" i="21"/>
  <c r="Y20" i="21"/>
  <c r="Y5" i="21"/>
  <c r="Y11" i="21"/>
  <c r="Y23" i="21"/>
  <c r="Y4" i="21"/>
  <c r="Y10" i="21"/>
  <c r="Y17" i="21"/>
  <c r="Y30" i="21"/>
  <c r="Y31" i="21"/>
  <c r="Y35" i="21"/>
  <c r="Y2" i="21"/>
  <c r="Y32" i="21"/>
  <c r="Y34" i="21"/>
  <c r="Y19" i="21"/>
  <c r="Y25" i="21"/>
  <c r="Y33" i="21"/>
  <c r="Y21" i="21"/>
  <c r="Y28" i="21"/>
  <c r="Y43" i="21"/>
  <c r="Y15" i="21"/>
  <c r="Y24" i="21"/>
  <c r="Y26" i="21"/>
  <c r="Y41" i="21"/>
  <c r="Y39" i="21"/>
  <c r="Y40" i="21"/>
  <c r="Y38" i="21"/>
  <c r="Y52" i="21"/>
  <c r="Y47" i="21"/>
  <c r="Y9" i="21"/>
  <c r="Y13" i="21"/>
  <c r="Y49" i="21"/>
  <c r="Y46" i="21"/>
  <c r="Y36" i="21"/>
  <c r="Y29" i="21"/>
  <c r="Y50" i="21"/>
  <c r="Y27" i="21"/>
  <c r="Y51" i="21"/>
  <c r="Y54" i="21"/>
  <c r="Y44" i="21"/>
  <c r="Y37" i="21"/>
  <c r="Y48" i="21"/>
  <c r="Y42" i="21"/>
  <c r="Y18" i="21"/>
  <c r="Y45" i="21"/>
  <c r="Y53" i="21"/>
  <c r="Y3" i="21"/>
  <c r="AQ4" i="21"/>
  <c r="AQ10" i="21"/>
  <c r="AQ17" i="21"/>
  <c r="AQ2" i="21"/>
  <c r="AQ12" i="21"/>
  <c r="AQ22" i="21"/>
  <c r="AQ8" i="21"/>
  <c r="AQ16" i="21"/>
  <c r="AQ7" i="21"/>
  <c r="AQ15" i="21"/>
  <c r="AQ6" i="21"/>
  <c r="AQ14" i="21"/>
  <c r="AQ20" i="21"/>
  <c r="AQ30" i="21"/>
  <c r="AQ26" i="21"/>
  <c r="AQ23" i="21"/>
  <c r="AQ29" i="21"/>
  <c r="AQ36" i="21"/>
  <c r="AQ18" i="21"/>
  <c r="AQ31" i="21"/>
  <c r="AQ35" i="21"/>
  <c r="AQ11" i="21"/>
  <c r="AQ25" i="21"/>
  <c r="AQ33" i="21"/>
  <c r="AQ13" i="21"/>
  <c r="AQ19" i="21"/>
  <c r="AQ27" i="21"/>
  <c r="AQ49" i="21"/>
  <c r="AQ21" i="21"/>
  <c r="AQ53" i="21"/>
  <c r="AQ51" i="21"/>
  <c r="AQ28" i="21"/>
  <c r="AQ34" i="21"/>
  <c r="AQ37" i="21"/>
  <c r="AQ54" i="21"/>
  <c r="AQ41" i="21"/>
  <c r="AQ5" i="21"/>
  <c r="AQ24" i="21"/>
  <c r="AQ40" i="21"/>
  <c r="AQ38" i="21"/>
  <c r="AQ32" i="21"/>
  <c r="AQ52" i="21"/>
  <c r="AQ9" i="21"/>
  <c r="AQ46" i="21"/>
  <c r="AQ50" i="21"/>
  <c r="AQ47" i="21"/>
  <c r="AQ39" i="21"/>
  <c r="AQ45" i="21"/>
  <c r="AQ44" i="21"/>
  <c r="AQ48" i="21"/>
  <c r="AQ43" i="21"/>
  <c r="AQ42" i="21"/>
  <c r="AQ3" i="21"/>
  <c r="AT7" i="21"/>
  <c r="AT15" i="21"/>
  <c r="AT6" i="21"/>
  <c r="AT5" i="21"/>
  <c r="AT11" i="21"/>
  <c r="AT23" i="21"/>
  <c r="AT4" i="21"/>
  <c r="AT2" i="21"/>
  <c r="AT13" i="21"/>
  <c r="AT18" i="21"/>
  <c r="AT12" i="21"/>
  <c r="AT22" i="21"/>
  <c r="AT9" i="21"/>
  <c r="AT21" i="21"/>
  <c r="AT16" i="21"/>
  <c r="AT27" i="21"/>
  <c r="AT49" i="21"/>
  <c r="AT14" i="21"/>
  <c r="AT28" i="21"/>
  <c r="AT43" i="21"/>
  <c r="AT10" i="21"/>
  <c r="AT30" i="21"/>
  <c r="AT24" i="21"/>
  <c r="AT29" i="21"/>
  <c r="AT31" i="21"/>
  <c r="AT26" i="21"/>
  <c r="AT46" i="21"/>
  <c r="AT8" i="21"/>
  <c r="AT36" i="21"/>
  <c r="AT45" i="21"/>
  <c r="AT25" i="21"/>
  <c r="AT34" i="21"/>
  <c r="AT50" i="21"/>
  <c r="AT53" i="21"/>
  <c r="AT51" i="21"/>
  <c r="AT19" i="21"/>
  <c r="AT32" i="21"/>
  <c r="AT35" i="21"/>
  <c r="AT41" i="21"/>
  <c r="AT39" i="21"/>
  <c r="AT20" i="21"/>
  <c r="AT42" i="21"/>
  <c r="AT52" i="21"/>
  <c r="AT37" i="21"/>
  <c r="AT40" i="21"/>
  <c r="AT54" i="21"/>
  <c r="AT47" i="21"/>
  <c r="AT17" i="21"/>
  <c r="AT44" i="21"/>
  <c r="AT3" i="21"/>
  <c r="AT38" i="21"/>
  <c r="AT33" i="21"/>
  <c r="AT48" i="21"/>
  <c r="J4" i="21"/>
  <c r="J10" i="21"/>
  <c r="J17" i="21"/>
  <c r="J32" i="21"/>
  <c r="J34" i="21"/>
  <c r="J50" i="21"/>
  <c r="J42" i="21"/>
  <c r="J5" i="21"/>
  <c r="J11" i="21"/>
  <c r="J23" i="21"/>
  <c r="J31" i="21"/>
  <c r="J35" i="21"/>
  <c r="J45" i="21"/>
  <c r="J48" i="21"/>
  <c r="J9" i="21"/>
  <c r="J21" i="21"/>
  <c r="J28" i="21"/>
  <c r="J43" i="21"/>
  <c r="J41" i="21"/>
  <c r="J39" i="21"/>
  <c r="J12" i="21"/>
  <c r="J19" i="21"/>
  <c r="J33" i="21"/>
  <c r="J38" i="21"/>
  <c r="J13" i="21"/>
  <c r="J30" i="21"/>
  <c r="J36" i="21"/>
  <c r="J54" i="21"/>
  <c r="J14" i="21"/>
  <c r="J27" i="21"/>
  <c r="J52" i="21"/>
  <c r="J51" i="21"/>
  <c r="J15" i="21"/>
  <c r="J25" i="21"/>
  <c r="J40" i="21"/>
  <c r="J44" i="21"/>
  <c r="J2" i="21"/>
  <c r="J16" i="21"/>
  <c r="J29" i="21"/>
  <c r="J37" i="21"/>
  <c r="J6" i="21"/>
  <c r="J22" i="21"/>
  <c r="J26" i="21"/>
  <c r="J53" i="21"/>
  <c r="J3" i="21"/>
  <c r="J47" i="21"/>
  <c r="J7" i="21"/>
  <c r="J46" i="21"/>
  <c r="J8" i="21"/>
  <c r="J20" i="21"/>
  <c r="J24" i="21"/>
  <c r="J18" i="21"/>
  <c r="J49" i="21"/>
  <c r="AU8" i="21"/>
  <c r="AU16" i="21"/>
  <c r="AU7" i="21"/>
  <c r="AU6" i="21"/>
  <c r="AU14" i="21"/>
  <c r="AU20" i="21"/>
  <c r="AU5" i="21"/>
  <c r="AU4" i="21"/>
  <c r="AU10" i="21"/>
  <c r="AU17" i="21"/>
  <c r="AU2" i="21"/>
  <c r="AU13" i="21"/>
  <c r="AU18" i="21"/>
  <c r="AU12" i="21"/>
  <c r="AU22" i="21"/>
  <c r="AU19" i="21"/>
  <c r="AU25" i="21"/>
  <c r="AU33" i="21"/>
  <c r="AU27" i="21"/>
  <c r="AU49" i="21"/>
  <c r="AU28" i="21"/>
  <c r="AU43" i="21"/>
  <c r="AU21" i="21"/>
  <c r="AU26" i="21"/>
  <c r="AU15" i="21"/>
  <c r="AU29" i="21"/>
  <c r="AU52" i="21"/>
  <c r="AU47" i="21"/>
  <c r="AU31" i="21"/>
  <c r="AU46" i="21"/>
  <c r="AU23" i="21"/>
  <c r="AU36" i="21"/>
  <c r="AU45" i="21"/>
  <c r="AU34" i="21"/>
  <c r="AU50" i="21"/>
  <c r="AU24" i="21"/>
  <c r="AU37" i="21"/>
  <c r="AU54" i="21"/>
  <c r="AU32" i="21"/>
  <c r="AU38" i="21"/>
  <c r="AU48" i="21"/>
  <c r="AU42" i="21"/>
  <c r="AU9" i="21"/>
  <c r="AU40" i="21"/>
  <c r="AU51" i="21"/>
  <c r="AU35" i="21"/>
  <c r="AU39" i="21"/>
  <c r="AU41" i="21"/>
  <c r="AU11" i="21"/>
  <c r="AU30" i="21"/>
  <c r="AU53" i="21"/>
  <c r="AU44" i="21"/>
  <c r="AU3" i="21"/>
  <c r="AL7" i="21"/>
  <c r="AL15" i="21"/>
  <c r="AL6" i="21"/>
  <c r="AL5" i="21"/>
  <c r="AL11" i="21"/>
  <c r="AL23" i="21"/>
  <c r="AL4" i="21"/>
  <c r="AL2" i="21"/>
  <c r="AL13" i="21"/>
  <c r="AL18" i="21"/>
  <c r="AL12" i="21"/>
  <c r="AL22" i="21"/>
  <c r="AL9" i="21"/>
  <c r="AL21" i="21"/>
  <c r="AL8" i="21"/>
  <c r="AL19" i="21"/>
  <c r="AL27" i="21"/>
  <c r="AL49" i="21"/>
  <c r="AL28" i="21"/>
  <c r="AL43" i="21"/>
  <c r="AL24" i="21"/>
  <c r="AL17" i="21"/>
  <c r="AL29" i="21"/>
  <c r="AL16" i="21"/>
  <c r="AL31" i="21"/>
  <c r="AL35" i="21"/>
  <c r="AL46" i="21"/>
  <c r="AL45" i="21"/>
  <c r="AL10" i="21"/>
  <c r="AL14" i="21"/>
  <c r="AL32" i="21"/>
  <c r="AL50" i="21"/>
  <c r="AL36" i="21"/>
  <c r="AL53" i="21"/>
  <c r="AL51" i="21"/>
  <c r="AL30" i="21"/>
  <c r="AL33" i="21"/>
  <c r="AL20" i="21"/>
  <c r="AL26" i="21"/>
  <c r="AL41" i="21"/>
  <c r="AL39" i="21"/>
  <c r="AL42" i="21"/>
  <c r="AL47" i="21"/>
  <c r="AL38" i="21"/>
  <c r="AL37" i="21"/>
  <c r="AL44" i="21"/>
  <c r="AL52" i="21"/>
  <c r="AL54" i="21"/>
  <c r="AL3" i="21"/>
  <c r="AL40" i="21"/>
  <c r="AL48" i="21"/>
  <c r="AL34" i="21"/>
  <c r="AL25" i="21"/>
  <c r="S4" i="21"/>
  <c r="S10" i="21"/>
  <c r="S17" i="21"/>
  <c r="S2" i="21"/>
  <c r="S12" i="21"/>
  <c r="S22" i="21"/>
  <c r="S8" i="21"/>
  <c r="S16" i="21"/>
  <c r="S7" i="21"/>
  <c r="S15" i="21"/>
  <c r="S19" i="21"/>
  <c r="S6" i="21"/>
  <c r="S14" i="21"/>
  <c r="S20" i="21"/>
  <c r="S5" i="21"/>
  <c r="S23" i="21"/>
  <c r="S26" i="21"/>
  <c r="S18" i="21"/>
  <c r="S29" i="21"/>
  <c r="S36" i="21"/>
  <c r="S21" i="21"/>
  <c r="S31" i="21"/>
  <c r="S35" i="21"/>
  <c r="S13" i="21"/>
  <c r="S25" i="21"/>
  <c r="S33" i="21"/>
  <c r="S9" i="21"/>
  <c r="S27" i="21"/>
  <c r="S49" i="21"/>
  <c r="S28" i="21"/>
  <c r="S34" i="21"/>
  <c r="S53" i="21"/>
  <c r="S51" i="21"/>
  <c r="S37" i="21"/>
  <c r="S54" i="21"/>
  <c r="S24" i="21"/>
  <c r="S41" i="21"/>
  <c r="S39" i="21"/>
  <c r="S11" i="21"/>
  <c r="S32" i="21"/>
  <c r="S40" i="21"/>
  <c r="S38" i="21"/>
  <c r="S43" i="21"/>
  <c r="S52" i="21"/>
  <c r="S46" i="21"/>
  <c r="S47" i="21"/>
  <c r="S30" i="21"/>
  <c r="S45" i="21"/>
  <c r="S44" i="21"/>
  <c r="S48" i="21"/>
  <c r="S42" i="21"/>
  <c r="S50" i="21"/>
  <c r="S3" i="21"/>
  <c r="AH2" i="21"/>
  <c r="AH13" i="21"/>
  <c r="AH18" i="21"/>
  <c r="AH9" i="21"/>
  <c r="AH21" i="21"/>
  <c r="AH7" i="21"/>
  <c r="AH15" i="21"/>
  <c r="AH19" i="21"/>
  <c r="AH6" i="21"/>
  <c r="AH14" i="21"/>
  <c r="AH20" i="21"/>
  <c r="AH5" i="21"/>
  <c r="AH11" i="21"/>
  <c r="AH23" i="21"/>
  <c r="AH30" i="21"/>
  <c r="AH29" i="21"/>
  <c r="AH36" i="21"/>
  <c r="AH31" i="21"/>
  <c r="AH35" i="21"/>
  <c r="AH17" i="21"/>
  <c r="AH32" i="21"/>
  <c r="AH34" i="21"/>
  <c r="AH16" i="21"/>
  <c r="AH27" i="21"/>
  <c r="AH49" i="21"/>
  <c r="AH10" i="21"/>
  <c r="AH28" i="21"/>
  <c r="AH43" i="21"/>
  <c r="AH8" i="21"/>
  <c r="AH12" i="21"/>
  <c r="AH37" i="21"/>
  <c r="AH54" i="21"/>
  <c r="AH4" i="21"/>
  <c r="AH41" i="21"/>
  <c r="AH39" i="21"/>
  <c r="AH33" i="21"/>
  <c r="AH40" i="21"/>
  <c r="AH38" i="21"/>
  <c r="AH22" i="21"/>
  <c r="AH52" i="21"/>
  <c r="AH47" i="21"/>
  <c r="AH26" i="21"/>
  <c r="AH25" i="21"/>
  <c r="AH45" i="21"/>
  <c r="AH53" i="21"/>
  <c r="AH44" i="21"/>
  <c r="AH24" i="21"/>
  <c r="AH46" i="21"/>
  <c r="AH48" i="21"/>
  <c r="AH50" i="21"/>
  <c r="AH42" i="21"/>
  <c r="AH51" i="21"/>
  <c r="AH3" i="21"/>
  <c r="X9" i="21"/>
  <c r="X21" i="21"/>
  <c r="X8" i="21"/>
  <c r="X7" i="21"/>
  <c r="X15" i="21"/>
  <c r="X19" i="21"/>
  <c r="X6" i="21"/>
  <c r="X5" i="21"/>
  <c r="X11" i="21"/>
  <c r="X23" i="21"/>
  <c r="X4" i="21"/>
  <c r="X10" i="21"/>
  <c r="X17" i="21"/>
  <c r="X2" i="21"/>
  <c r="X13" i="21"/>
  <c r="X18" i="21"/>
  <c r="X16" i="21"/>
  <c r="X32" i="21"/>
  <c r="X34" i="21"/>
  <c r="X14" i="21"/>
  <c r="X25" i="21"/>
  <c r="X33" i="21"/>
  <c r="X12" i="21"/>
  <c r="X27" i="21"/>
  <c r="X49" i="21"/>
  <c r="X24" i="21"/>
  <c r="X26" i="21"/>
  <c r="X30" i="21"/>
  <c r="X35" i="21"/>
  <c r="X40" i="21"/>
  <c r="X38" i="21"/>
  <c r="X31" i="21"/>
  <c r="X52" i="21"/>
  <c r="X47" i="21"/>
  <c r="X22" i="21"/>
  <c r="X28" i="21"/>
  <c r="X46" i="21"/>
  <c r="X20" i="21"/>
  <c r="X36" i="21"/>
  <c r="X45" i="21"/>
  <c r="X29" i="21"/>
  <c r="X53" i="21"/>
  <c r="X51" i="21"/>
  <c r="X50" i="21"/>
  <c r="X54" i="21"/>
  <c r="X44" i="21"/>
  <c r="X37" i="21"/>
  <c r="X48" i="21"/>
  <c r="X42" i="21"/>
  <c r="X39" i="21"/>
  <c r="X41" i="21"/>
  <c r="X43" i="21"/>
  <c r="X3" i="21"/>
  <c r="V7" i="21"/>
  <c r="V15" i="21"/>
  <c r="V19" i="21"/>
  <c r="V6" i="21"/>
  <c r="V5" i="21"/>
  <c r="V11" i="21"/>
  <c r="V23" i="21"/>
  <c r="V4" i="21"/>
  <c r="V2" i="21"/>
  <c r="V13" i="21"/>
  <c r="V18" i="21"/>
  <c r="V12" i="21"/>
  <c r="V22" i="21"/>
  <c r="V9" i="21"/>
  <c r="V21" i="21"/>
  <c r="V14" i="21"/>
  <c r="V27" i="21"/>
  <c r="V49" i="21"/>
  <c r="V10" i="21"/>
  <c r="V28" i="21"/>
  <c r="V43" i="21"/>
  <c r="V24" i="21"/>
  <c r="V8" i="21"/>
  <c r="V29" i="21"/>
  <c r="V20" i="21"/>
  <c r="V30" i="21"/>
  <c r="V31" i="21"/>
  <c r="V46" i="21"/>
  <c r="V16" i="21"/>
  <c r="V25" i="21"/>
  <c r="V34" i="21"/>
  <c r="V36" i="21"/>
  <c r="V45" i="21"/>
  <c r="V17" i="21"/>
  <c r="V50" i="21"/>
  <c r="V53" i="21"/>
  <c r="V51" i="21"/>
  <c r="V32" i="21"/>
  <c r="V41" i="21"/>
  <c r="V39" i="21"/>
  <c r="V35" i="21"/>
  <c r="V37" i="21"/>
  <c r="V42" i="21"/>
  <c r="V33" i="21"/>
  <c r="V40" i="21"/>
  <c r="V52" i="21"/>
  <c r="V47" i="21"/>
  <c r="V38" i="21"/>
  <c r="V44" i="21"/>
  <c r="V26" i="21"/>
  <c r="V3" i="21"/>
  <c r="V54" i="21"/>
  <c r="V48" i="21"/>
  <c r="AR5" i="21"/>
  <c r="AR11" i="21"/>
  <c r="AR23" i="21"/>
  <c r="AR4" i="21"/>
  <c r="AR2" i="21"/>
  <c r="AR13" i="21"/>
  <c r="AR18" i="21"/>
  <c r="AR9" i="21"/>
  <c r="AR21" i="21"/>
  <c r="AR8" i="21"/>
  <c r="AR16" i="21"/>
  <c r="AR7" i="21"/>
  <c r="AR15" i="21"/>
  <c r="AR19" i="21"/>
  <c r="AR14" i="21"/>
  <c r="AR24" i="21"/>
  <c r="AR10" i="21"/>
  <c r="AR30" i="21"/>
  <c r="AR26" i="21"/>
  <c r="AR12" i="21"/>
  <c r="AR29" i="21"/>
  <c r="AR36" i="21"/>
  <c r="AR32" i="21"/>
  <c r="AR34" i="21"/>
  <c r="AR20" i="21"/>
  <c r="AR25" i="21"/>
  <c r="AR33" i="21"/>
  <c r="AR31" i="21"/>
  <c r="AR50" i="21"/>
  <c r="AR53" i="21"/>
  <c r="AR51" i="21"/>
  <c r="AR28" i="21"/>
  <c r="AR49" i="21"/>
  <c r="AR37" i="21"/>
  <c r="AR35" i="21"/>
  <c r="AR41" i="21"/>
  <c r="AR39" i="21"/>
  <c r="AR6" i="21"/>
  <c r="AR22" i="21"/>
  <c r="AR17" i="21"/>
  <c r="AR27" i="21"/>
  <c r="AR52" i="21"/>
  <c r="AR47" i="21"/>
  <c r="AR40" i="21"/>
  <c r="AR54" i="21"/>
  <c r="AR45" i="21"/>
  <c r="AR44" i="21"/>
  <c r="AR38" i="21"/>
  <c r="AR42" i="21"/>
  <c r="AR43" i="21"/>
  <c r="AR48" i="21"/>
  <c r="AR46" i="21"/>
  <c r="AR3" i="21"/>
  <c r="B6" i="21"/>
  <c r="B12" i="21"/>
  <c r="B14" i="21"/>
  <c r="B22" i="21"/>
  <c r="B20" i="21"/>
  <c r="B27" i="21"/>
  <c r="B29" i="21"/>
  <c r="B49" i="21"/>
  <c r="B36" i="21"/>
  <c r="B8" i="21"/>
  <c r="B16" i="21"/>
  <c r="B30" i="21"/>
  <c r="B24" i="21"/>
  <c r="B40" i="21"/>
  <c r="B46" i="21"/>
  <c r="B48" i="21"/>
  <c r="B28" i="21"/>
  <c r="B43" i="21"/>
  <c r="B41" i="21"/>
  <c r="B23" i="21"/>
  <c r="B50" i="21"/>
  <c r="B26" i="21"/>
  <c r="B42" i="21"/>
  <c r="B9" i="21"/>
  <c r="B21" i="21"/>
  <c r="B47" i="21"/>
  <c r="B52" i="21"/>
  <c r="B38" i="21"/>
  <c r="B44" i="21"/>
  <c r="B18" i="21"/>
  <c r="B33" i="21"/>
  <c r="B37" i="21"/>
  <c r="B4" i="21"/>
  <c r="B17" i="21"/>
  <c r="B34" i="21"/>
  <c r="B5" i="21"/>
  <c r="B31" i="21"/>
  <c r="B54" i="21"/>
  <c r="B51" i="21"/>
  <c r="B19" i="21"/>
  <c r="B13" i="21"/>
  <c r="B25" i="21"/>
  <c r="B39" i="21"/>
  <c r="B10" i="21"/>
  <c r="B32" i="21"/>
  <c r="B53" i="21"/>
  <c r="B11" i="21"/>
  <c r="B35" i="21"/>
  <c r="B15" i="21"/>
  <c r="B7" i="21"/>
  <c r="B45" i="21"/>
  <c r="D8" i="21"/>
  <c r="D16" i="21"/>
  <c r="D30" i="21"/>
  <c r="D24" i="21"/>
  <c r="D40" i="21"/>
  <c r="D38" i="21"/>
  <c r="D9" i="21"/>
  <c r="D21" i="21"/>
  <c r="D28" i="21"/>
  <c r="D43" i="21"/>
  <c r="D41" i="21"/>
  <c r="D39" i="21"/>
  <c r="D12" i="21"/>
  <c r="D22" i="21"/>
  <c r="D27" i="21"/>
  <c r="D49" i="21"/>
  <c r="D37" i="21"/>
  <c r="D54" i="21"/>
  <c r="D2" i="21"/>
  <c r="D13" i="21"/>
  <c r="D18" i="21"/>
  <c r="D25" i="21"/>
  <c r="D33" i="21"/>
  <c r="D53" i="21"/>
  <c r="D51" i="21"/>
  <c r="D4" i="21"/>
  <c r="D10" i="21"/>
  <c r="D17" i="21"/>
  <c r="D32" i="21"/>
  <c r="D34" i="21"/>
  <c r="D50" i="21"/>
  <c r="D42" i="21"/>
  <c r="D6" i="21"/>
  <c r="D14" i="21"/>
  <c r="D20" i="21"/>
  <c r="D29" i="21"/>
  <c r="D36" i="21"/>
  <c r="D46" i="21"/>
  <c r="D44" i="21"/>
  <c r="D26" i="21"/>
  <c r="D5" i="21"/>
  <c r="D35" i="21"/>
  <c r="D7" i="21"/>
  <c r="D52" i="21"/>
  <c r="D11" i="21"/>
  <c r="D45" i="21"/>
  <c r="D15" i="21"/>
  <c r="D47" i="21"/>
  <c r="D23" i="21"/>
  <c r="D48" i="21"/>
  <c r="D19" i="21"/>
  <c r="D31" i="21"/>
  <c r="AV4" i="21" l="1"/>
  <c r="AV2" i="21"/>
  <c r="AV3" i="21"/>
  <c r="AV15" i="21"/>
  <c r="AV53" i="21"/>
  <c r="AV10" i="21"/>
  <c r="AV49" i="21"/>
  <c r="AV5" i="21"/>
  <c r="AV52" i="21"/>
  <c r="AV24" i="21"/>
  <c r="AV39" i="21"/>
  <c r="AV27" i="21"/>
  <c r="AV7" i="21"/>
  <c r="AV18" i="21"/>
  <c r="AV44" i="21"/>
  <c r="AV45" i="21"/>
  <c r="AV6" i="21"/>
  <c r="AV29" i="21"/>
  <c r="AV22" i="21"/>
  <c r="AV14" i="21"/>
  <c r="AV12" i="21"/>
  <c r="AV11" i="21"/>
  <c r="AV13" i="21"/>
  <c r="AV9" i="21"/>
  <c r="AV37" i="21"/>
  <c r="AV21" i="21"/>
  <c r="AV54" i="21"/>
  <c r="AV40" i="21"/>
  <c r="AV47" i="21"/>
  <c r="AV23" i="21"/>
  <c r="AV28" i="21"/>
  <c r="AV19" i="21"/>
  <c r="AV33" i="21"/>
  <c r="AV31" i="21"/>
  <c r="AV42" i="21"/>
  <c r="AV50" i="21"/>
  <c r="AV30" i="21"/>
  <c r="AV16" i="21"/>
  <c r="AV41" i="21"/>
  <c r="AV51" i="21"/>
  <c r="AV17" i="21"/>
  <c r="AV36" i="21"/>
  <c r="AV25" i="21"/>
  <c r="AV35" i="21"/>
  <c r="AV8" i="21"/>
  <c r="AV32" i="21"/>
  <c r="AV20" i="21"/>
  <c r="AV38" i="21"/>
  <c r="AV26" i="21"/>
  <c r="AV34" i="21"/>
  <c r="AV43" i="21"/>
  <c r="AV46" i="21"/>
  <c r="AV48"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<sst xmlns="http://schemas.openxmlformats.org/spreadsheetml/2006/main" count="2256" uniqueCount="916">
  <si>
    <t>Mineral</t>
  </si>
  <si>
    <t>Countries with Significant Deposits</t>
  </si>
  <si>
    <t>Aluminum (Bauxite)</t>
  </si>
  <si>
    <t>Guinea, Australia, Brazil, Vietnam, India, Jamaica</t>
  </si>
  <si>
    <t>Antimony</t>
  </si>
  <si>
    <t>Arsenic</t>
  </si>
  <si>
    <t>China, Peru, Morocco, Russia, Mexico</t>
  </si>
  <si>
    <t>Barite</t>
  </si>
  <si>
    <t>China, India, Morocco, Kazakhstan, United States</t>
  </si>
  <si>
    <t>Beryllium</t>
  </si>
  <si>
    <t>United States, China, Brazil, Madagascar, Mozambique</t>
  </si>
  <si>
    <t>Bismuth</t>
  </si>
  <si>
    <t>China, Mexico, Peru, Bolivia, Vietnam</t>
  </si>
  <si>
    <t>Boron</t>
  </si>
  <si>
    <t>Cesium</t>
  </si>
  <si>
    <t>Canada, Zimbabwe, Australia, Namibia</t>
  </si>
  <si>
    <t>Chromium</t>
  </si>
  <si>
    <t>Cobalt</t>
  </si>
  <si>
    <t>Copper</t>
  </si>
  <si>
    <t>Chile, Peru, Australia, DRC, Russia, United States, Zambia</t>
  </si>
  <si>
    <t>Fluorspar</t>
  </si>
  <si>
    <t>China, Mexico, Mongolia, South Africa, Spain</t>
  </si>
  <si>
    <t>Gallium*</t>
  </si>
  <si>
    <t>China, Australia, Germany, Kazakhstan, Ukraine</t>
  </si>
  <si>
    <t>Germanium*</t>
  </si>
  <si>
    <t>China, Canada, Russia, United States, Belgium</t>
  </si>
  <si>
    <t>Graphite</t>
  </si>
  <si>
    <t>China, Mozambique, Madagascar, Tanzania, Brazil, India</t>
  </si>
  <si>
    <t>Hafnium*</t>
  </si>
  <si>
    <t>Australia, South Africa, United States, India, Mozambique</t>
  </si>
  <si>
    <t>Indium*</t>
  </si>
  <si>
    <t>China, Peru, Canada, Bolivia, Australia</t>
  </si>
  <si>
    <t>Iridium*</t>
  </si>
  <si>
    <t>South Africa, Russia, Zimbabwe, Canada</t>
  </si>
  <si>
    <t>Lead</t>
  </si>
  <si>
    <t>Australia, China, Peru, Mexico, United States</t>
  </si>
  <si>
    <t>Lithium</t>
  </si>
  <si>
    <t>Chile, Australia, Argentina, China, Bolivia, Canada</t>
  </si>
  <si>
    <t>Magnesium</t>
  </si>
  <si>
    <t>Manganese</t>
  </si>
  <si>
    <t>South Africa, Australia, Gabon, Brazil, Ukraine</t>
  </si>
  <si>
    <t>Metallurgical Coal</t>
  </si>
  <si>
    <t>Australia, United States, Canada, Mongolia, Russia</t>
  </si>
  <si>
    <t>Nickel</t>
  </si>
  <si>
    <t>Indonesia, Australia, Brazil, Russia, Canada, Philippines</t>
  </si>
  <si>
    <t>Niobium</t>
  </si>
  <si>
    <t>Brazil, Canada, Australia</t>
  </si>
  <si>
    <t>Palladium*</t>
  </si>
  <si>
    <t>Russia, South Africa, Canada, United States</t>
  </si>
  <si>
    <t>Phosphate</t>
  </si>
  <si>
    <t>Morocco (including Western Sahara), China, Egypt, Saudi Arabia, Jordan</t>
  </si>
  <si>
    <t>Platinum</t>
  </si>
  <si>
    <t>Potash</t>
  </si>
  <si>
    <t>Canada, Russia, Belarus, China, Germany</t>
  </si>
  <si>
    <t>Rhenium*</t>
  </si>
  <si>
    <t>Chile, United States, Peru, Kazakhstan, Poland</t>
  </si>
  <si>
    <t>Rhodium*</t>
  </si>
  <si>
    <t>South Africa, Russia, Zimbabwe</t>
  </si>
  <si>
    <t>Rubidium*</t>
  </si>
  <si>
    <t>Ruthenium*</t>
  </si>
  <si>
    <t>Scandium*</t>
  </si>
  <si>
    <t>Australia, China, Philippines, Russia, Madagascar</t>
  </si>
  <si>
    <t>Silicon (Quartz)</t>
  </si>
  <si>
    <t>China, Brazil, United States, Norway, Australia</t>
  </si>
  <si>
    <t>Silver</t>
  </si>
  <si>
    <t>Peru, Mexico, China, Australia, Chile, Poland</t>
  </si>
  <si>
    <t>Tantalum</t>
  </si>
  <si>
    <t>DRC, Rwanda, Australia, Brazil, Nigeria</t>
  </si>
  <si>
    <t>Tellurium*</t>
  </si>
  <si>
    <t>China, Peru, Japan, Canada, Sweden</t>
  </si>
  <si>
    <t>Tin</t>
  </si>
  <si>
    <t>China, Indonesia, Myanmar, Peru, Bolivia, DRC</t>
  </si>
  <si>
    <t>Titanium</t>
  </si>
  <si>
    <t>Australia, South Africa, Mozambique, India, China</t>
  </si>
  <si>
    <t>Tungsten</t>
  </si>
  <si>
    <t>China, Vietnam, Russia, Bolivia, Rwanda</t>
  </si>
  <si>
    <t>Uranium</t>
  </si>
  <si>
    <t>Australia, Kazakhstan, Canada, Namibia, Niger, Uzbekistan</t>
  </si>
  <si>
    <t>Vanadium</t>
  </si>
  <si>
    <t>China, Russia, South Africa, Brazil, Australia</t>
  </si>
  <si>
    <t>Zinc</t>
  </si>
  <si>
    <t>Australia, China, Peru, Mexico, India</t>
  </si>
  <si>
    <t>Zirconium (Zircon)</t>
  </si>
  <si>
    <t>Australia, South Africa, Mozambique, India, United States</t>
  </si>
  <si>
    <t>REE</t>
  </si>
  <si>
    <t>China, Brazil, Vietnam, Australia, Russia, India, United States,Greenland, Canada, South Africa, Tanzania, Madagascar, Malawi</t>
  </si>
  <si>
    <t>Country</t>
  </si>
  <si>
    <t>Guinea</t>
  </si>
  <si>
    <t>China</t>
  </si>
  <si>
    <t>United States</t>
  </si>
  <si>
    <t>Canada</t>
  </si>
  <si>
    <t>South Africa</t>
  </si>
  <si>
    <t>Chile</t>
  </si>
  <si>
    <t>Australia</t>
  </si>
  <si>
    <t>Indonesia</t>
  </si>
  <si>
    <t>Brazil</t>
  </si>
  <si>
    <t>Russia</t>
  </si>
  <si>
    <t>Peru</t>
  </si>
  <si>
    <t>DRC</t>
  </si>
  <si>
    <t>Greenland</t>
  </si>
  <si>
    <t>Argentina</t>
  </si>
  <si>
    <t>Belarus</t>
  </si>
  <si>
    <t>Belgium</t>
  </si>
  <si>
    <t>Bolivia</t>
  </si>
  <si>
    <t>Cuba</t>
  </si>
  <si>
    <t>Egypt</t>
  </si>
  <si>
    <t>Finland</t>
  </si>
  <si>
    <t>Gabon</t>
  </si>
  <si>
    <t>Germany</t>
  </si>
  <si>
    <t>India</t>
  </si>
  <si>
    <t>Jamaica</t>
  </si>
  <si>
    <t>Japan</t>
  </si>
  <si>
    <t>Jordan</t>
  </si>
  <si>
    <t>Kazakhstan</t>
  </si>
  <si>
    <t>Madagascar</t>
  </si>
  <si>
    <t>Malawi</t>
  </si>
  <si>
    <t>Mexico</t>
  </si>
  <si>
    <t>Mongolia</t>
  </si>
  <si>
    <t>Morocco</t>
  </si>
  <si>
    <t>Mozambique</t>
  </si>
  <si>
    <t>Myanmar</t>
  </si>
  <si>
    <t>Namibia</t>
  </si>
  <si>
    <t>Niger</t>
  </si>
  <si>
    <t>Nigeria</t>
  </si>
  <si>
    <t>North Korea</t>
  </si>
  <si>
    <t>Norway</t>
  </si>
  <si>
    <t>Philippines</t>
  </si>
  <si>
    <t>Poland</t>
  </si>
  <si>
    <t>Rwanda</t>
  </si>
  <si>
    <t>Saudi Arabia</t>
  </si>
  <si>
    <t>Spain</t>
  </si>
  <si>
    <t>Sweden</t>
  </si>
  <si>
    <t>Tajikistan</t>
  </si>
  <si>
    <t>Tanzania</t>
  </si>
  <si>
    <t>Ukraine</t>
  </si>
  <si>
    <t>Uzbekistan</t>
  </si>
  <si>
    <t>Vietnam</t>
  </si>
  <si>
    <t>Gallium</t>
  </si>
  <si>
    <t>Germanium</t>
  </si>
  <si>
    <t>Hafnium</t>
  </si>
  <si>
    <t>Indium</t>
  </si>
  <si>
    <t>Iridium</t>
  </si>
  <si>
    <t>Palladium</t>
  </si>
  <si>
    <t>Rhenium</t>
  </si>
  <si>
    <t>Rhodium</t>
  </si>
  <si>
    <t>Rubidium</t>
  </si>
  <si>
    <t>Ruthenium</t>
  </si>
  <si>
    <t>Scandium</t>
  </si>
  <si>
    <t>Tellurium</t>
  </si>
  <si>
    <t>Zambia</t>
  </si>
  <si>
    <t>Zimbabwe</t>
  </si>
  <si>
    <t>Total Minerals</t>
  </si>
  <si>
    <t>Row Labels</t>
  </si>
  <si>
    <t>Grand Total</t>
  </si>
  <si>
    <t>Column Labels</t>
  </si>
  <si>
    <t>Asia</t>
  </si>
  <si>
    <t>Oceania</t>
  </si>
  <si>
    <t>Eurasia</t>
  </si>
  <si>
    <t>Continent</t>
  </si>
  <si>
    <t>North America</t>
  </si>
  <si>
    <t>Africa</t>
  </si>
  <si>
    <t>South America</t>
  </si>
  <si>
    <t>Europe</t>
  </si>
  <si>
    <t xml:space="preserve"> construction</t>
  </si>
  <si>
    <t xml:space="preserve"> automotive</t>
  </si>
  <si>
    <t xml:space="preserve"> pipelines</t>
  </si>
  <si>
    <t xml:space="preserve"> aerospace</t>
  </si>
  <si>
    <t xml:space="preserve"> chemical manufacturing</t>
  </si>
  <si>
    <t xml:space="preserve"> glass production</t>
  </si>
  <si>
    <t xml:space="preserve"> electronics</t>
  </si>
  <si>
    <t xml:space="preserve"> semiconductors</t>
  </si>
  <si>
    <t xml:space="preserve"> chemical catalysts</t>
  </si>
  <si>
    <t xml:space="preserve"> energy storage</t>
  </si>
  <si>
    <t xml:space="preserve"> atomic clocks</t>
  </si>
  <si>
    <t xml:space="preserve"> medical applications</t>
  </si>
  <si>
    <t xml:space="preserve"> hydrogen technologies</t>
  </si>
  <si>
    <t xml:space="preserve"> dentistry</t>
  </si>
  <si>
    <t xml:space="preserve"> jewelry</t>
  </si>
  <si>
    <t xml:space="preserve"> chemical processing</t>
  </si>
  <si>
    <t xml:space="preserve"> fuel cells</t>
  </si>
  <si>
    <t xml:space="preserve"> specialty glass</t>
  </si>
  <si>
    <t xml:space="preserve"> telecommunications</t>
  </si>
  <si>
    <t xml:space="preserve"> research applications</t>
  </si>
  <si>
    <t xml:space="preserve"> wood preservatives</t>
  </si>
  <si>
    <t xml:space="preserve"> specialty alloys</t>
  </si>
  <si>
    <t xml:space="preserve"> chemicals</t>
  </si>
  <si>
    <t xml:space="preserve"> paints</t>
  </si>
  <si>
    <t xml:space="preserve"> plastics</t>
  </si>
  <si>
    <t xml:space="preserve"> defense</t>
  </si>
  <si>
    <t xml:space="preserve"> cosmetics</t>
  </si>
  <si>
    <t xml:space="preserve"> low-melting alloys</t>
  </si>
  <si>
    <t xml:space="preserve"> detergents</t>
  </si>
  <si>
    <t xml:space="preserve"> agriculture</t>
  </si>
  <si>
    <t xml:space="preserve"> fiberglass</t>
  </si>
  <si>
    <t xml:space="preserve"> refractory materials</t>
  </si>
  <si>
    <t xml:space="preserve"> superalloys</t>
  </si>
  <si>
    <t xml:space="preserve"> catalysts</t>
  </si>
  <si>
    <t xml:space="preserve"> aluminum production</t>
  </si>
  <si>
    <t xml:space="preserve"> refrigerants</t>
  </si>
  <si>
    <t xml:space="preserve"> batteries</t>
  </si>
  <si>
    <t xml:space="preserve"> solar panels</t>
  </si>
  <si>
    <t xml:space="preserve"> infrared optics</t>
  </si>
  <si>
    <t xml:space="preserve"> solar cells</t>
  </si>
  <si>
    <t xml:space="preserve"> nuclear reactors</t>
  </si>
  <si>
    <t xml:space="preserve"> radiation shielding</t>
  </si>
  <si>
    <t xml:space="preserve"> ammunition</t>
  </si>
  <si>
    <t xml:space="preserve"> aluminum alloys</t>
  </si>
  <si>
    <t xml:space="preserve"> steelmaking</t>
  </si>
  <si>
    <t xml:space="preserve"> fertilizers</t>
  </si>
  <si>
    <t xml:space="preserve"> foundries</t>
  </si>
  <si>
    <t xml:space="preserve"> industrial manufacturing</t>
  </si>
  <si>
    <t xml:space="preserve"> food processing</t>
  </si>
  <si>
    <t xml:space="preserve"> animal feed</t>
  </si>
  <si>
    <t xml:space="preserve"> solid oxide fuel cells</t>
  </si>
  <si>
    <t xml:space="preserve"> sports equipment</t>
  </si>
  <si>
    <t xml:space="preserve"> glass</t>
  </si>
  <si>
    <t xml:space="preserve"> medical devices</t>
  </si>
  <si>
    <t xml:space="preserve"> thermoelectric devices</t>
  </si>
  <si>
    <t xml:space="preserve"> metallurgy</t>
  </si>
  <si>
    <t xml:space="preserve"> medical implants</t>
  </si>
  <si>
    <t xml:space="preserve"> pigments</t>
  </si>
  <si>
    <t xml:space="preserve"> mining equipment</t>
  </si>
  <si>
    <t xml:space="preserve"> energy storage batteries</t>
  </si>
  <si>
    <t xml:space="preserve"> ceramics</t>
  </si>
  <si>
    <t xml:space="preserve"> packaging</t>
  </si>
  <si>
    <t xml:space="preserve"> electrical transmission</t>
  </si>
  <si>
    <t xml:space="preserve"> lubricants</t>
  </si>
  <si>
    <t xml:space="preserve"> refractories</t>
  </si>
  <si>
    <t xml:space="preserve"> electric vehicles</t>
  </si>
  <si>
    <t xml:space="preserve"> consumer electronics</t>
  </si>
  <si>
    <t xml:space="preserve"> alloys</t>
  </si>
  <si>
    <t xml:space="preserve"> medical isotopes</t>
  </si>
  <si>
    <t xml:space="preserve"> renewable energy</t>
  </si>
  <si>
    <t xml:space="preserve"> wind turbines</t>
  </si>
  <si>
    <t>Chemicals, Materials &amp; Industrial Processing</t>
  </si>
  <si>
    <t>Construction &amp; Infrastructure</t>
  </si>
  <si>
    <t>Automotive &amp; Transportation</t>
  </si>
  <si>
    <t>Healthcare, Consumer &amp; Specialty Products</t>
  </si>
  <si>
    <t>Energy &amp; Power Generation</t>
  </si>
  <si>
    <t>Metals, Steel &amp; Manufacturing</t>
  </si>
  <si>
    <t>Agriculture &amp; Fertilizers</t>
  </si>
  <si>
    <t>Electronics &amp; Semiconductors</t>
  </si>
  <si>
    <t>Clean Energy &amp; Electrification</t>
  </si>
  <si>
    <t>Company</t>
  </si>
  <si>
    <t>Revenue ($bn)</t>
  </si>
  <si>
    <t>RTX</t>
  </si>
  <si>
    <t>USA</t>
  </si>
  <si>
    <t>Boeing</t>
  </si>
  <si>
    <t>Airbus</t>
  </si>
  <si>
    <t>Lockheed Martin</t>
  </si>
  <si>
    <t>Northrop Grumman</t>
  </si>
  <si>
    <t>General Dynamics</t>
  </si>
  <si>
    <t>BAE Systems</t>
  </si>
  <si>
    <t>Safran</t>
  </si>
  <si>
    <t>France</t>
  </si>
  <si>
    <t>L3Harris</t>
  </si>
  <si>
    <t>SpaceX</t>
  </si>
  <si>
    <t>Aerospace, Defense, and Space</t>
  </si>
  <si>
    <t>Nutrien</t>
  </si>
  <si>
    <t>Wesfarmers (fertilizer division)</t>
  </si>
  <si>
    <t>Mosaic</t>
  </si>
  <si>
    <t>OCP Group</t>
  </si>
  <si>
    <t>ICL Group</t>
  </si>
  <si>
    <t>Israel</t>
  </si>
  <si>
    <t>CF Industries</t>
  </si>
  <si>
    <t>Yara</t>
  </si>
  <si>
    <t>EuroChem</t>
  </si>
  <si>
    <t>Switzerland</t>
  </si>
  <si>
    <t>SAFCO</t>
  </si>
  <si>
    <t>Coromandel</t>
  </si>
  <si>
    <t>Volkswagen Group</t>
  </si>
  <si>
    <t>Toyota</t>
  </si>
  <si>
    <t>Ford</t>
  </si>
  <si>
    <t>General Motors</t>
  </si>
  <si>
    <t>Stellantis</t>
  </si>
  <si>
    <t>Netherlands</t>
  </si>
  <si>
    <t>BMW</t>
  </si>
  <si>
    <t>Mercedes-Benz</t>
  </si>
  <si>
    <t>Honda</t>
  </si>
  <si>
    <t>Hyundai</t>
  </si>
  <si>
    <t>South Korea</t>
  </si>
  <si>
    <t>BYD</t>
  </si>
  <si>
    <t>BASF</t>
  </si>
  <si>
    <t>Bayer</t>
  </si>
  <si>
    <t>Dow</t>
  </si>
  <si>
    <t>Linde</t>
  </si>
  <si>
    <t>LG Chem</t>
  </si>
  <si>
    <t>Air Liquide</t>
  </si>
  <si>
    <t>Mitsubishi Chemical</t>
  </si>
  <si>
    <t>LyondellBasell</t>
  </si>
  <si>
    <t>SABIC</t>
  </si>
  <si>
    <t>Wanhua Chemical</t>
  </si>
  <si>
    <t>Iberdrola</t>
  </si>
  <si>
    <t>GE Vernova</t>
  </si>
  <si>
    <t>NextEra Energy</t>
  </si>
  <si>
    <t>Sungrow</t>
  </si>
  <si>
    <t>Longi Green Energy</t>
  </si>
  <si>
    <t>CATL</t>
  </si>
  <si>
    <t>Vestas</t>
  </si>
  <si>
    <t>Denmark</t>
  </si>
  <si>
    <t>Brookfield Renewable</t>
  </si>
  <si>
    <t>Goldwind</t>
  </si>
  <si>
    <t>Adani Green</t>
  </si>
  <si>
    <t>China State Construction Engineering</t>
  </si>
  <si>
    <t>China Railway Group</t>
  </si>
  <si>
    <t>China Railway Construction Corp</t>
  </si>
  <si>
    <t>China Communications Construction</t>
  </si>
  <si>
    <t>Vinci</t>
  </si>
  <si>
    <t>Bouygues</t>
  </si>
  <si>
    <t>ACS Group</t>
  </si>
  <si>
    <t>ENKA</t>
  </si>
  <si>
    <t>Hochtief</t>
  </si>
  <si>
    <t>Lennar</t>
  </si>
  <si>
    <t>Turkiye</t>
  </si>
  <si>
    <t>Samsung Electronics</t>
  </si>
  <si>
    <t>NVIDIA</t>
  </si>
  <si>
    <t>TSMC</t>
  </si>
  <si>
    <t>Taiwan</t>
  </si>
  <si>
    <t>SK Hynix</t>
  </si>
  <si>
    <t>Micron</t>
  </si>
  <si>
    <t>Broadcom</t>
  </si>
  <si>
    <t>Intel</t>
  </si>
  <si>
    <t>Qualcomm</t>
  </si>
  <si>
    <t>ASML</t>
  </si>
  <si>
    <t>AMD</t>
  </si>
  <si>
    <t>Equinor</t>
  </si>
  <si>
    <t>E.ON</t>
  </si>
  <si>
    <t>ENGIE</t>
  </si>
  <si>
    <t>Uniper</t>
  </si>
  <si>
    <t>Enel</t>
  </si>
  <si>
    <t>Italy</t>
  </si>
  <si>
    <t>Korea Electric Power</t>
  </si>
  <si>
    <t>TEPCO</t>
  </si>
  <si>
    <t>Siemens Energy</t>
  </si>
  <si>
    <t>UnitedHealth</t>
  </si>
  <si>
    <t>CVS Health</t>
  </si>
  <si>
    <t>McKesson</t>
  </si>
  <si>
    <t>Cencora</t>
  </si>
  <si>
    <t>Cigna</t>
  </si>
  <si>
    <t>Cardinal Health</t>
  </si>
  <si>
    <t>Elevance Health</t>
  </si>
  <si>
    <t>Centene</t>
  </si>
  <si>
    <t>Johnson &amp; Johnson</t>
  </si>
  <si>
    <t>HCA Healthcare</t>
  </si>
  <si>
    <t>Glencore</t>
  </si>
  <si>
    <t>AMER International</t>
  </si>
  <si>
    <t>Jiangxi Copper</t>
  </si>
  <si>
    <t>HBIS Group</t>
  </si>
  <si>
    <t>Rio Tinto</t>
  </si>
  <si>
    <t>Jinchuan Group</t>
  </si>
  <si>
    <t>Eurasian Resources Group</t>
  </si>
  <si>
    <t>Luxembourg</t>
  </si>
  <si>
    <t>Vale</t>
  </si>
  <si>
    <t>Shougang Group</t>
  </si>
  <si>
    <t>China, Russia, Tajikistan, Myanmar, Bolivia, Turkiye</t>
  </si>
  <si>
    <t>Turkiye, United States, Argentina, Chile, Russia</t>
  </si>
  <si>
    <t>South Africa, Kazakhstan, India, Turkiye, Finland</t>
  </si>
  <si>
    <t>China, Russia, Brazil, Turkiye, North Korea</t>
  </si>
  <si>
    <t>DRC, Australia, Indonesia, Cuba, Canada</t>
  </si>
  <si>
    <t>total manufacturing demand</t>
  </si>
  <si>
    <t>Total Manufacturing Demand</t>
  </si>
  <si>
    <t>Producer Country Count</t>
  </si>
  <si>
    <t>Criticality</t>
  </si>
  <si>
    <t>Strategic Mineral Score</t>
  </si>
  <si>
    <t>Interpretation</t>
  </si>
  <si>
    <t>Very inelastic. Certification and safety requirements make substitution difficult.</t>
  </si>
  <si>
    <t>Food demand ultimately constrains substitution. Farmers can defer but not eliminate inputs.</t>
  </si>
  <si>
    <t>Some substitution and redesign possible over several years.</t>
  </si>
  <si>
    <t>Moderate ability to reformulate processes and switch feedstocks.</t>
  </si>
  <si>
    <t>Technology pathways are constrained by mineral requirements and policy targets.</t>
  </si>
  <si>
    <t>Material substitution is often possible, though slowly.</t>
  </si>
  <si>
    <t>Highly dependent on specific materials and performance characteristics.</t>
  </si>
  <si>
    <t>Long-lived assets with limited short-term substitution options.</t>
  </si>
  <si>
    <t>Generally greatest ability to substitute, redesign, or pass costs through.</t>
  </si>
  <si>
    <t>Core metallurgical requirements limit flexibility.</t>
  </si>
  <si>
    <t>Afghanistan</t>
  </si>
  <si>
    <t>Albania</t>
  </si>
  <si>
    <t>Algeria</t>
  </si>
  <si>
    <t>Andorra</t>
  </si>
  <si>
    <t>Angola</t>
  </si>
  <si>
    <t>Antigua and Barbuda</t>
  </si>
  <si>
    <t>Armenia</t>
  </si>
  <si>
    <t>Austria</t>
  </si>
  <si>
    <t>Azerbaijan</t>
  </si>
  <si>
    <t>Bahamas</t>
  </si>
  <si>
    <t>Bahrain</t>
  </si>
  <si>
    <t>Bangladesh</t>
  </si>
  <si>
    <t>Barbados</t>
  </si>
  <si>
    <t>Belize</t>
  </si>
  <si>
    <t>Benin</t>
  </si>
  <si>
    <t>Bhutan</t>
  </si>
  <si>
    <t>Bosnia and Herzegovina</t>
  </si>
  <si>
    <t>Botswana</t>
  </si>
  <si>
    <t>Brunei</t>
  </si>
  <si>
    <t>Bulgaria</t>
  </si>
  <si>
    <t>Burkina Faso</t>
  </si>
  <si>
    <t>Burundi</t>
  </si>
  <si>
    <t>Cabo Verde</t>
  </si>
  <si>
    <t>Cambodia</t>
  </si>
  <si>
    <t>Cameroon</t>
  </si>
  <si>
    <t>Central African Republic</t>
  </si>
  <si>
    <t>Chad</t>
  </si>
  <si>
    <t>Colombia</t>
  </si>
  <si>
    <t>Comoros</t>
  </si>
  <si>
    <t>Costa Rica</t>
  </si>
  <si>
    <t>Côte d'Ivoire</t>
  </si>
  <si>
    <t>Croatia</t>
  </si>
  <si>
    <t>Cyprus</t>
  </si>
  <si>
    <t>Czech Republic</t>
  </si>
  <si>
    <t>Djibouti</t>
  </si>
  <si>
    <t>Dominica</t>
  </si>
  <si>
    <t>Dominican Republic</t>
  </si>
  <si>
    <t>Ecuador</t>
  </si>
  <si>
    <t>El Salvador</t>
  </si>
  <si>
    <t>Equatorial Guinea</t>
  </si>
  <si>
    <t>Eritrea</t>
  </si>
  <si>
    <t>Estonia</t>
  </si>
  <si>
    <t>Eswatini</t>
  </si>
  <si>
    <t>Ethiopia</t>
  </si>
  <si>
    <t>Fiji</t>
  </si>
  <si>
    <t>Gambia</t>
  </si>
  <si>
    <t>Georgia</t>
  </si>
  <si>
    <t>Ghana</t>
  </si>
  <si>
    <t>Greece</t>
  </si>
  <si>
    <t>Grenada</t>
  </si>
  <si>
    <t>Guatemala</t>
  </si>
  <si>
    <t>Guinea-Bissau</t>
  </si>
  <si>
    <t>Guyana</t>
  </si>
  <si>
    <t>Haiti</t>
  </si>
  <si>
    <t>Honduras</t>
  </si>
  <si>
    <t>Hungary</t>
  </si>
  <si>
    <t>Iceland</t>
  </si>
  <si>
    <t>Iran</t>
  </si>
  <si>
    <t>Iraq</t>
  </si>
  <si>
    <t>Ireland</t>
  </si>
  <si>
    <t>Kenya</t>
  </si>
  <si>
    <t>Kiribati</t>
  </si>
  <si>
    <t>Kuwait</t>
  </si>
  <si>
    <t>Kyrgyzstan</t>
  </si>
  <si>
    <t>Laos</t>
  </si>
  <si>
    <t>Latvia</t>
  </si>
  <si>
    <t>Lebanon</t>
  </si>
  <si>
    <t>Lesotho</t>
  </si>
  <si>
    <t>Liberia</t>
  </si>
  <si>
    <t>Libya</t>
  </si>
  <si>
    <t>Liechtenstein</t>
  </si>
  <si>
    <t>Lithuania</t>
  </si>
  <si>
    <t>Malaysia</t>
  </si>
  <si>
    <t>Maldives</t>
  </si>
  <si>
    <t>Mali</t>
  </si>
  <si>
    <t>Malta</t>
  </si>
  <si>
    <t>Marshall Islands</t>
  </si>
  <si>
    <t>Mauritania</t>
  </si>
  <si>
    <t>Mauritius</t>
  </si>
  <si>
    <t>Micronesia</t>
  </si>
  <si>
    <t>Moldova</t>
  </si>
  <si>
    <t>Monaco</t>
  </si>
  <si>
    <t>Montenegro</t>
  </si>
  <si>
    <t>Nauru</t>
  </si>
  <si>
    <t>Nepal</t>
  </si>
  <si>
    <t>New Zealand</t>
  </si>
  <si>
    <t>Nicaragua</t>
  </si>
  <si>
    <t>North Macedonia</t>
  </si>
  <si>
    <t>Oman</t>
  </si>
  <si>
    <t>Pakistan</t>
  </si>
  <si>
    <t>Palau</t>
  </si>
  <si>
    <t>Palestine</t>
  </si>
  <si>
    <t>Panama</t>
  </si>
  <si>
    <t>Papua New Guinea</t>
  </si>
  <si>
    <t>Paraguay</t>
  </si>
  <si>
    <t>Portugal</t>
  </si>
  <si>
    <t>Qatar</t>
  </si>
  <si>
    <t>Romania</t>
  </si>
  <si>
    <t>Saint Kitts and Nevis</t>
  </si>
  <si>
    <t>Saint Lucia</t>
  </si>
  <si>
    <t>Saint Vincent and the Grenadines</t>
  </si>
  <si>
    <t>Samoa</t>
  </si>
  <si>
    <t>San Marino</t>
  </si>
  <si>
    <t>Sao Tome and Principe</t>
  </si>
  <si>
    <t>Senegal</t>
  </si>
  <si>
    <t>Serbia</t>
  </si>
  <si>
    <t>Seychelles</t>
  </si>
  <si>
    <t>Sierra Leone</t>
  </si>
  <si>
    <t>Singapore</t>
  </si>
  <si>
    <t>Slovakia</t>
  </si>
  <si>
    <t>Slovenia</t>
  </si>
  <si>
    <t>Solomon Islands</t>
  </si>
  <si>
    <t>Somalia</t>
  </si>
  <si>
    <t>South Sudan</t>
  </si>
  <si>
    <t>Sri Lanka</t>
  </si>
  <si>
    <t>Sudan</t>
  </si>
  <si>
    <t>Suriname</t>
  </si>
  <si>
    <t>Syria</t>
  </si>
  <si>
    <t>Thailand</t>
  </si>
  <si>
    <t>Timor-Leste</t>
  </si>
  <si>
    <t>Togo</t>
  </si>
  <si>
    <t>Tonga</t>
  </si>
  <si>
    <t>Trinidad and Tobago</t>
  </si>
  <si>
    <t>Tunisia</t>
  </si>
  <si>
    <t>Turkmenistan</t>
  </si>
  <si>
    <t>Tuvalu</t>
  </si>
  <si>
    <t>Uganda</t>
  </si>
  <si>
    <t>United Arab Emirates</t>
  </si>
  <si>
    <t>Uruguay</t>
  </si>
  <si>
    <t>Vanuatu</t>
  </si>
  <si>
    <t>Venezuela</t>
  </si>
  <si>
    <t>Yemen</t>
  </si>
  <si>
    <t>Central America</t>
  </si>
  <si>
    <t>Congo</t>
  </si>
  <si>
    <t>AFG</t>
  </si>
  <si>
    <t>ALB</t>
  </si>
  <si>
    <t>DZA</t>
  </si>
  <si>
    <t>AND</t>
  </si>
  <si>
    <t>AGO</t>
  </si>
  <si>
    <t>United Kingdom</t>
  </si>
  <si>
    <t>ATG</t>
  </si>
  <si>
    <t>ARG</t>
  </si>
  <si>
    <t>ARM</t>
  </si>
  <si>
    <t>AUS</t>
  </si>
  <si>
    <t>AUT</t>
  </si>
  <si>
    <t>AZE</t>
  </si>
  <si>
    <t>BHS</t>
  </si>
  <si>
    <t>BHR</t>
  </si>
  <si>
    <t>BGD</t>
  </si>
  <si>
    <t>BRB</t>
  </si>
  <si>
    <t>BLR</t>
  </si>
  <si>
    <t>BEL</t>
  </si>
  <si>
    <t>BLZ</t>
  </si>
  <si>
    <t>BEN</t>
  </si>
  <si>
    <t>BTN</t>
  </si>
  <si>
    <t>BOL</t>
  </si>
  <si>
    <t>BIH</t>
  </si>
  <si>
    <t>BWA</t>
  </si>
  <si>
    <t>BRA</t>
  </si>
  <si>
    <t>BRN</t>
  </si>
  <si>
    <t>BGR</t>
  </si>
  <si>
    <t>BFA</t>
  </si>
  <si>
    <t>BDI</t>
  </si>
  <si>
    <t>CPV</t>
  </si>
  <si>
    <t>KHM</t>
  </si>
  <si>
    <t>CMR</t>
  </si>
  <si>
    <t>CAN</t>
  </si>
  <si>
    <t>CAF</t>
  </si>
  <si>
    <t>TCD</t>
  </si>
  <si>
    <t>CHL</t>
  </si>
  <si>
    <t>CHN</t>
  </si>
  <si>
    <t>COL</t>
  </si>
  <si>
    <t>COM</t>
  </si>
  <si>
    <t>COD</t>
  </si>
  <si>
    <t>COG</t>
  </si>
  <si>
    <t>CRI</t>
  </si>
  <si>
    <t>CIV</t>
  </si>
  <si>
    <t>HRV</t>
  </si>
  <si>
    <t>CUB</t>
  </si>
  <si>
    <t>CYP</t>
  </si>
  <si>
    <t>CZE</t>
  </si>
  <si>
    <t>DNK</t>
  </si>
  <si>
    <t>DJI</t>
  </si>
  <si>
    <t>DMA</t>
  </si>
  <si>
    <t>DOM</t>
  </si>
  <si>
    <t>ECU</t>
  </si>
  <si>
    <t>EGY</t>
  </si>
  <si>
    <t>SLV</t>
  </si>
  <si>
    <t>GNQ</t>
  </si>
  <si>
    <t>ERI</t>
  </si>
  <si>
    <t>EST</t>
  </si>
  <si>
    <t>SWZ</t>
  </si>
  <si>
    <t>ETH</t>
  </si>
  <si>
    <t>FJI</t>
  </si>
  <si>
    <t>FIN</t>
  </si>
  <si>
    <t>FRA</t>
  </si>
  <si>
    <t>GAB</t>
  </si>
  <si>
    <t>GMB</t>
  </si>
  <si>
    <t>GEO</t>
  </si>
  <si>
    <t>DEU</t>
  </si>
  <si>
    <t>GHA</t>
  </si>
  <si>
    <t>GRC</t>
  </si>
  <si>
    <t>GRL</t>
  </si>
  <si>
    <t>GRD</t>
  </si>
  <si>
    <t>GTM</t>
  </si>
  <si>
    <t>GIN</t>
  </si>
  <si>
    <t>GNB</t>
  </si>
  <si>
    <t>GUY</t>
  </si>
  <si>
    <t>HTI</t>
  </si>
  <si>
    <t>HND</t>
  </si>
  <si>
    <t>HUN</t>
  </si>
  <si>
    <t>ISL</t>
  </si>
  <si>
    <t>IND</t>
  </si>
  <si>
    <t>IDN</t>
  </si>
  <si>
    <t>IRN</t>
  </si>
  <si>
    <t>IRQ</t>
  </si>
  <si>
    <t>IRL</t>
  </si>
  <si>
    <t>ISR</t>
  </si>
  <si>
    <t>ITA</t>
  </si>
  <si>
    <t>JAM</t>
  </si>
  <si>
    <t>JPN</t>
  </si>
  <si>
    <t>JOR</t>
  </si>
  <si>
    <t>KAZ</t>
  </si>
  <si>
    <t>KEN</t>
  </si>
  <si>
    <t>KIR</t>
  </si>
  <si>
    <t>PRK</t>
  </si>
  <si>
    <t>KOR</t>
  </si>
  <si>
    <t>KWT</t>
  </si>
  <si>
    <t>KGZ</t>
  </si>
  <si>
    <t>LAO</t>
  </si>
  <si>
    <t>LVA</t>
  </si>
  <si>
    <t>LBN</t>
  </si>
  <si>
    <t>LSO</t>
  </si>
  <si>
    <t>LBR</t>
  </si>
  <si>
    <t>LBY</t>
  </si>
  <si>
    <t>LIE</t>
  </si>
  <si>
    <t>LTU</t>
  </si>
  <si>
    <t>LUX</t>
  </si>
  <si>
    <t>MDG</t>
  </si>
  <si>
    <t>MWI</t>
  </si>
  <si>
    <t>MYS</t>
  </si>
  <si>
    <t>MDV</t>
  </si>
  <si>
    <t>MLI</t>
  </si>
  <si>
    <t>MLT</t>
  </si>
  <si>
    <t>MHL</t>
  </si>
  <si>
    <t>MRT</t>
  </si>
  <si>
    <t>MUS</t>
  </si>
  <si>
    <t>MEX</t>
  </si>
  <si>
    <t>FSM</t>
  </si>
  <si>
    <t>MDA</t>
  </si>
  <si>
    <t>MCO</t>
  </si>
  <si>
    <t>MNG</t>
  </si>
  <si>
    <t>MNE</t>
  </si>
  <si>
    <t>MAR</t>
  </si>
  <si>
    <t>MOZ</t>
  </si>
  <si>
    <t>MMR</t>
  </si>
  <si>
    <t>NAM</t>
  </si>
  <si>
    <t>NRU</t>
  </si>
  <si>
    <t>NPL</t>
  </si>
  <si>
    <t>NLD</t>
  </si>
  <si>
    <t>NZL</t>
  </si>
  <si>
    <t>NIC</t>
  </si>
  <si>
    <t>NER</t>
  </si>
  <si>
    <t>NGA</t>
  </si>
  <si>
    <t>MKD</t>
  </si>
  <si>
    <t>NOR</t>
  </si>
  <si>
    <t>OMN</t>
  </si>
  <si>
    <t>PAK</t>
  </si>
  <si>
    <t>PLW</t>
  </si>
  <si>
    <t>PSE</t>
  </si>
  <si>
    <t>PAN</t>
  </si>
  <si>
    <t>PNG</t>
  </si>
  <si>
    <t>PRY</t>
  </si>
  <si>
    <t>PER</t>
  </si>
  <si>
    <t>PHL</t>
  </si>
  <si>
    <t>POL</t>
  </si>
  <si>
    <t>PRT</t>
  </si>
  <si>
    <t>QAT</t>
  </si>
  <si>
    <t>ROU</t>
  </si>
  <si>
    <t>RUS</t>
  </si>
  <si>
    <t>RWA</t>
  </si>
  <si>
    <t>KNA</t>
  </si>
  <si>
    <t>LCA</t>
  </si>
  <si>
    <t>VCT</t>
  </si>
  <si>
    <t>WSM</t>
  </si>
  <si>
    <t>SMR</t>
  </si>
  <si>
    <t>STP</t>
  </si>
  <si>
    <t>SAU</t>
  </si>
  <si>
    <t>SEN</t>
  </si>
  <si>
    <t>SRB</t>
  </si>
  <si>
    <t>SYC</t>
  </si>
  <si>
    <t>SLE</t>
  </si>
  <si>
    <t>SGP</t>
  </si>
  <si>
    <t>SVK</t>
  </si>
  <si>
    <t>SVN</t>
  </si>
  <si>
    <t>SLB</t>
  </si>
  <si>
    <t>SOM</t>
  </si>
  <si>
    <t>ZAF</t>
  </si>
  <si>
    <t>SSD</t>
  </si>
  <si>
    <t>ESP</t>
  </si>
  <si>
    <t>LKA</t>
  </si>
  <si>
    <t>SDN</t>
  </si>
  <si>
    <t>SUR</t>
  </si>
  <si>
    <t>SWE</t>
  </si>
  <si>
    <t>CHE</t>
  </si>
  <si>
    <t>SYR</t>
  </si>
  <si>
    <t>TWN</t>
  </si>
  <si>
    <t>TJK</t>
  </si>
  <si>
    <t>TZA</t>
  </si>
  <si>
    <t>THA</t>
  </si>
  <si>
    <t>TLS</t>
  </si>
  <si>
    <t>TGO</t>
  </si>
  <si>
    <t>TON</t>
  </si>
  <si>
    <t>TTO</t>
  </si>
  <si>
    <t>TUN</t>
  </si>
  <si>
    <t>TUR</t>
  </si>
  <si>
    <t>TKM</t>
  </si>
  <si>
    <t>TUV</t>
  </si>
  <si>
    <t>UGA</t>
  </si>
  <si>
    <t>UKR</t>
  </si>
  <si>
    <t>ARE</t>
  </si>
  <si>
    <t>GBR</t>
  </si>
  <si>
    <t>URY</t>
  </si>
  <si>
    <t>UZB</t>
  </si>
  <si>
    <t>VUT</t>
  </si>
  <si>
    <t>VEN</t>
  </si>
  <si>
    <t>VNM</t>
  </si>
  <si>
    <t>YEM</t>
  </si>
  <si>
    <t>ZMB</t>
  </si>
  <si>
    <t>ZWE</t>
  </si>
  <si>
    <t>List of ISO 3166 country codes - Wikipedia</t>
  </si>
  <si>
    <t>ISO3</t>
  </si>
  <si>
    <t>Federal Register :: Final 2025 List of Critical Minerals</t>
  </si>
  <si>
    <t>Top 151 largest Aerospace &amp; Defense Companies in the World 2026</t>
  </si>
  <si>
    <t>Country Code</t>
  </si>
  <si>
    <t>Mineral Code</t>
  </si>
  <si>
    <t>Code</t>
  </si>
  <si>
    <t>ALU</t>
  </si>
  <si>
    <t>ANT</t>
  </si>
  <si>
    <t>ARS</t>
  </si>
  <si>
    <t>BAR</t>
  </si>
  <si>
    <t>BER</t>
  </si>
  <si>
    <t>BIS</t>
  </si>
  <si>
    <t>BOR</t>
  </si>
  <si>
    <t>CES</t>
  </si>
  <si>
    <t>CHR</t>
  </si>
  <si>
    <t>COB</t>
  </si>
  <si>
    <t>COP</t>
  </si>
  <si>
    <t>FLU</t>
  </si>
  <si>
    <t>GAL</t>
  </si>
  <si>
    <t>GER</t>
  </si>
  <si>
    <t>GRA</t>
  </si>
  <si>
    <t>HAF</t>
  </si>
  <si>
    <t>IRI</t>
  </si>
  <si>
    <t>LED</t>
  </si>
  <si>
    <t>LIT</t>
  </si>
  <si>
    <t>MAG</t>
  </si>
  <si>
    <t>MAN</t>
  </si>
  <si>
    <t>NIO</t>
  </si>
  <si>
    <t>PAL</t>
  </si>
  <si>
    <t>PHO</t>
  </si>
  <si>
    <t>PLA</t>
  </si>
  <si>
    <t>POT</t>
  </si>
  <si>
    <t>RHE</t>
  </si>
  <si>
    <t>RHO</t>
  </si>
  <si>
    <t>RUB</t>
  </si>
  <si>
    <t>RUT</t>
  </si>
  <si>
    <t>SCA</t>
  </si>
  <si>
    <t>SIL</t>
  </si>
  <si>
    <t>TAN</t>
  </si>
  <si>
    <t>TEL</t>
  </si>
  <si>
    <t>TIN</t>
  </si>
  <si>
    <t>TIT</t>
  </si>
  <si>
    <t>URA</t>
  </si>
  <si>
    <t>VAN</t>
  </si>
  <si>
    <t>ZIN</t>
  </si>
  <si>
    <t>ZIR</t>
  </si>
  <si>
    <t>Rare Earth Elements</t>
  </si>
  <si>
    <t>product types</t>
  </si>
  <si>
    <t xml:space="preserve">ADS </t>
  </si>
  <si>
    <t xml:space="preserve">AGR </t>
  </si>
  <si>
    <t xml:space="preserve">AUT </t>
  </si>
  <si>
    <t xml:space="preserve">CHM </t>
  </si>
  <si>
    <t xml:space="preserve">CEE </t>
  </si>
  <si>
    <t xml:space="preserve">CON </t>
  </si>
  <si>
    <t xml:space="preserve">ELS </t>
  </si>
  <si>
    <t xml:space="preserve">EPG </t>
  </si>
  <si>
    <t xml:space="preserve">HCS </t>
  </si>
  <si>
    <t xml:space="preserve">MSM </t>
  </si>
  <si>
    <t>Name</t>
  </si>
  <si>
    <t>Sector Code</t>
  </si>
  <si>
    <t>Elasticity</t>
  </si>
  <si>
    <t>ADS</t>
  </si>
  <si>
    <t>ELS</t>
  </si>
  <si>
    <t>CEE</t>
  </si>
  <si>
    <t>EPG</t>
  </si>
  <si>
    <t>CON</t>
  </si>
  <si>
    <t>CHM</t>
  </si>
  <si>
    <t>AGR</t>
  </si>
  <si>
    <t>HCS</t>
  </si>
  <si>
    <t>MSM</t>
  </si>
  <si>
    <t>aerospace</t>
  </si>
  <si>
    <t>aerospace alloys</t>
  </si>
  <si>
    <t>aerospace turbines</t>
  </si>
  <si>
    <t>automotive</t>
  </si>
  <si>
    <t>automotive catalysts</t>
  </si>
  <si>
    <t>cutting tools</t>
  </si>
  <si>
    <t>displays (lcds)</t>
  </si>
  <si>
    <t>electrical power</t>
  </si>
  <si>
    <t>electronics</t>
  </si>
  <si>
    <t>fertilizers</t>
  </si>
  <si>
    <t>fiber optics</t>
  </si>
  <si>
    <t>flame retardants</t>
  </si>
  <si>
    <t>galvanized steel</t>
  </si>
  <si>
    <t>glass &amp; ceramics</t>
  </si>
  <si>
    <t>nuclear power</t>
  </si>
  <si>
    <t>nuclear power generation</t>
  </si>
  <si>
    <t>oil &amp; gas drilling</t>
  </si>
  <si>
    <t>permanent magnets</t>
  </si>
  <si>
    <t>pharmaceuticals</t>
  </si>
  <si>
    <t>semiconductors</t>
  </si>
  <si>
    <t>solar panels</t>
  </si>
  <si>
    <t>stainless steel</t>
  </si>
  <si>
    <t>steel &amp; alloys</t>
  </si>
  <si>
    <t>steel production</t>
  </si>
  <si>
    <t>steelmaking</t>
  </si>
  <si>
    <t>transportation</t>
  </si>
  <si>
    <t>batteries</t>
  </si>
  <si>
    <t>electronics (capacitors)</t>
  </si>
  <si>
    <t>steel alloys</t>
  </si>
  <si>
    <t>electronics solder</t>
  </si>
  <si>
    <t xml:space="preserve"> leds</t>
  </si>
  <si>
    <t>Producer Total</t>
  </si>
  <si>
    <t>Rank</t>
  </si>
  <si>
    <t>Count of Country Code</t>
  </si>
  <si>
    <t>Helium</t>
  </si>
  <si>
    <t>Strontium</t>
  </si>
  <si>
    <t>Selenium</t>
  </si>
  <si>
    <t>SEL</t>
  </si>
  <si>
    <t>STR</t>
  </si>
  <si>
    <t>HEL</t>
  </si>
  <si>
    <t>KAO</t>
  </si>
  <si>
    <t>Silica Sand</t>
  </si>
  <si>
    <t>Kaolin</t>
  </si>
  <si>
    <t>Bauxite</t>
  </si>
  <si>
    <t>Aluminium</t>
  </si>
  <si>
    <t>Borates</t>
  </si>
  <si>
    <t>IRO</t>
  </si>
  <si>
    <t>Iron</t>
  </si>
  <si>
    <t>Magnesite</t>
  </si>
  <si>
    <t>MGM</t>
  </si>
  <si>
    <t>Natural</t>
  </si>
  <si>
    <t>Phosphorus</t>
  </si>
  <si>
    <t>Rare</t>
  </si>
  <si>
    <t>Silicon</t>
  </si>
  <si>
    <t>SOD</t>
  </si>
  <si>
    <t>Sodium</t>
  </si>
  <si>
    <t>PGM</t>
  </si>
  <si>
    <t>Zimbabwe bans raw exports of 14 metals after lithium revenues jumped 106%</t>
  </si>
  <si>
    <t>Chrome</t>
  </si>
  <si>
    <t>EU</t>
  </si>
  <si>
    <t>USGS</t>
  </si>
  <si>
    <t>UK_Critical</t>
  </si>
  <si>
    <t>UK_Growth</t>
  </si>
  <si>
    <t>Recognition_Score</t>
  </si>
  <si>
    <t>【全国矿产资源规划】-国家发展和改革委员会</t>
  </si>
  <si>
    <r>
      <t xml:space="preserve">Column </t>
    </r>
    <r>
      <rPr>
        <b/>
        <sz val="12"/>
        <color rgb="FF4D4D4D"/>
        <rFont val="Arial"/>
        <family val="2"/>
      </rPr>
      <t>3</t>
    </r>
    <r>
      <rPr>
        <b/>
        <sz val="12"/>
        <color rgb="FF4D4D4D"/>
        <rFont val="宋体"/>
      </rPr>
      <t>: Strategic Minerals Catalogue (</t>
    </r>
    <r>
      <rPr>
        <b/>
        <sz val="12"/>
        <color rgb="FF4D4D4D"/>
        <rFont val="Arial"/>
        <family val="2"/>
      </rPr>
      <t>24</t>
    </r>
    <r>
      <rPr>
        <b/>
        <sz val="12"/>
        <color rgb="FF4D4D4D"/>
        <rFont val="宋体"/>
      </rPr>
      <t xml:space="preserve"> types)</t>
    </r>
  </si>
  <si>
    <t>CHN_strategic</t>
  </si>
  <si>
    <t>Critical Minerals and Metals Strategy South Africa 2025</t>
  </si>
  <si>
    <t>Gold</t>
  </si>
  <si>
    <t>GOL</t>
  </si>
  <si>
    <t>Australia’s Critical Minerals List and Strategic Materials List | Department of Industry Science and Resources</t>
  </si>
  <si>
    <t>Critical Minerals technical annex - GOV.UK</t>
  </si>
  <si>
    <t>Policy database – Data &amp; Statistics - IEA</t>
  </si>
  <si>
    <t>This workbook explores the relationship between strategic minerals, industrial sectors, manufacturing economies and national development strategies. The objective is not to estimate market value but to understand how different countries view strategic resources and how those resources support industrial capability.</t>
  </si>
  <si>
    <t>Purpose</t>
  </si>
  <si>
    <t>Structure</t>
  </si>
  <si>
    <t>Key Assumptions</t>
  </si>
  <si>
    <t>Geographic
Deposit occurrence is used instead of production volume.
Industrial
Major firms are proxies for global industrial activity
Classification
Product-to-sector mapping used with engineering judgment
Strategic Frameworks
Critical mineral lists are treated as expressions of national priorities rather than objective truth.</t>
  </si>
  <si>
    <t>Limitations</t>
  </si>
  <si>
    <t>No mid-stream data from extraction to final manufactured products
No trade flow data
No production share data
No demographic data
No value capture data</t>
  </si>
  <si>
    <t>Crit_Min_Frameworks - Compares national mineral strategies
01_raw_data - Source geological data
02_ref_data - Country-mineral matrix
03_global_tot - Producer counts
03_calc_demand - Scarcity / importance calculations
03_calc_weight - Country scores
Mineral Industry List - Mineral Product Sector mapping
sector-mineral matrix - Demand analysis
sector-country matrix - Manufacturing geography
sector-country list - Source company dataset
Country Code - ISO3 reference
Mineral Codes - Mineral reference
Sector Codes - Sector definitions and elasticity</t>
  </si>
  <si>
    <t>Title</t>
  </si>
  <si>
    <t>Details</t>
  </si>
  <si>
    <t>Overview</t>
  </si>
  <si>
    <t>Category</t>
  </si>
  <si>
    <t>General</t>
  </si>
  <si>
    <t>Observation 1</t>
  </si>
  <si>
    <t>Critical mineral diversity is concentrated in Asia and Africa
The largest concentrations of critical mineral occurrences are found in Asia and Africa. These regions possess a substantial share of the physical resources underpinning industrial civilisation.
Implication
Future industrial growth remains dependent on resources located outside many advanced industrial economies.</t>
  </si>
  <si>
    <t>Geographic</t>
  </si>
  <si>
    <t>Observation 2</t>
  </si>
  <si>
    <t>Australia is a major outlier
Australia combines:
broad mineral diversity,
political stability,
strong institutions,
developed infrastructure.
Few countries possess this combination.
Implication
Australia occupies a uniquely advantageous position within global resource supply chains.</t>
  </si>
  <si>
    <t>Observation 3</t>
  </si>
  <si>
    <t>Russia remains strategically significant
Russia possesses a wide range of strategic minerals concentrated within a single state.
Implication
Russia's importance extends beyond energy resources and into multiple future industrial supply chains.</t>
  </si>
  <si>
    <t>Observation 4</t>
  </si>
  <si>
    <t>Observation 5</t>
  </si>
  <si>
    <t>Observation 6</t>
  </si>
  <si>
    <t>Observation 7</t>
  </si>
  <si>
    <t>Observation 8</t>
  </si>
  <si>
    <t>Observation 9</t>
  </si>
  <si>
    <t>Observation 10</t>
  </si>
  <si>
    <t>Observation 11</t>
  </si>
  <si>
    <t>Observation 12</t>
  </si>
  <si>
    <t>Observation 13</t>
  </si>
  <si>
    <t>Observation 14</t>
  </si>
  <si>
    <t>Observation 15</t>
  </si>
  <si>
    <t>Mineral geography differs from manufacturing geography
The countries producing strategic minerals are often not the same countries manufacturing the highest-value products.
Implication
Resource ownership alone does not determine economic power.</t>
  </si>
  <si>
    <t>This model explores the relationship between:
Mineral Endowment, Industrial Use Manufacturing Capability National Strategy
The objective is not to estimate commodity prices or market value. The objective is to understand how resources support industrial capability and how different countries perceive strategically important materials.
The model combines:
geological occurrence data,
industrial applications,
manufacturing geography,
national strategic mineral frameworks.
The result is a view of the physical foundations that support modern economies.</t>
  </si>
  <si>
    <t>Minerals matter because of what they enable
Minerals are not economically valuable simply because they exist.
They become important because they support:
Products, Industries, Economic Activity
Implication
The industrial application of a mineral is often more important than the mineral itself.</t>
  </si>
  <si>
    <t>Industrial</t>
  </si>
  <si>
    <t>Scarcity and importance are not the same thing
Some minerals are scarce.
Some minerals are foundational.
These categories are not always identical.
Copper is relatively widespread but remains strategically important because many sectors depend upon it.</t>
  </si>
  <si>
    <t>A small number of minerals support many sectors
Examples include: Copper, Silicon, Aluminium, Rare Earth Elements
These minerals are used across multiple industrial sectors.
Implication
Broad industrial reach may be as important as scarcity.</t>
  </si>
  <si>
    <t>National Strategy</t>
  </si>
  <si>
    <t>There is no universal definition of a strategic mineral
Different governments classify minerals differently.
Implication
Mineral lists reflect national priorities rather than objective truth.</t>
  </si>
  <si>
    <t>Australia views minerals through a resource opportunity lens
Australia's strategic minerals generally align with resources the country can produce and export.
Core Question
What can Australia supply?</t>
  </si>
  <si>
    <t>The UK views minerals through an industrial growth lens
The UK Growth Minerals framework appears aligned with: future manufacturing,
industrial strategy, economic development goals.
Core Question
What will the UK need by 2035?</t>
  </si>
  <si>
    <t>Malaysia views minerals through an industrialisation lens
Malaysia's inclusion of Kaolin, Silica Sand and Tin  indicates focus on industries Malaysia can realistically support.
Core Question
What industries can Malaysia build?</t>
  </si>
  <si>
    <t>Zimbabwe views minerals through a value-capture lens
Zimbabwe's framework appears focused on:
Mining, Processing, Beneficiation, Development
Core Question
How can Zimbabwe retain more value domestically?</t>
  </si>
  <si>
    <t>China focuses on value-chain capability
China's framework appears less concerned with individual minerals and more concerned with maintaining capability across:
Mining, Processing, Materials, Manufacturing
Core Question
How can China maintain industrial capability across the entire chain?</t>
  </si>
  <si>
    <t>South Africa focuses on industrial strengths
South Africa prioritises: PGMs, Chrome, Manganese, Gold, Vanadium
which align closely with existing industrial strengths.
Core Question
Which mineral value chains can South Africa realistically develop?</t>
  </si>
  <si>
    <t>Rare Earth Elements are uniquely important
Rare Earth Elements achieve the highest Recognition Score and are recognised by every framework included in this model.
Implication
REEs represent the strongest global strategic consensus mineral.</t>
  </si>
  <si>
    <t>Aluminium, Cobalt, Lithium and Nickel form a second tier
These minerals are recognised by almost every framework despite very different national objectives.
Implication
These minerals underpin multiple industrial futures.</t>
  </si>
  <si>
    <t>Observation 16</t>
  </si>
  <si>
    <t>Observation 17</t>
  </si>
  <si>
    <t>The most interesting minerals are often the controversial ones. E.g. Kaolin, Gold, PGMs,Uranium
These minerals reveal differences between national development strategies.
Implication
Disagreement between frameworks may be more informative than agreement.</t>
  </si>
  <si>
    <t>Core Conclusions</t>
  </si>
  <si>
    <t>Conclusion 1</t>
  </si>
  <si>
    <t>Critical mineral lists are not really lists of minerals.
They are condensed expressions of:
industrial strategy,
development goals,
supply security concerns,
national ambitions.</t>
  </si>
  <si>
    <t>Mineral ownership does not automatically create economic power.
Economic value is created through:
Processing
↓
Manufacturing
↓
Capability
rather than extraction alone.</t>
  </si>
  <si>
    <t>Conclusion 2</t>
  </si>
  <si>
    <t>Conclusion 3</t>
  </si>
  <si>
    <t>Conclusion 4</t>
  </si>
  <si>
    <t>The physical foundations of economic power are often hidden.
Modern economies ultimately depend on:
Materials Energy, Infrastructure, Industry
even when economic activity appears increasingly service-based.</t>
  </si>
  <si>
    <t>This model is not fundamentally about minerals.
It is an exploration of how different nations understand:
Resources,  Industry, Development and Economic Capability through the lens of strategic materials.</t>
  </si>
  <si>
    <t>649d4212cceb01688027666.pdf</t>
  </si>
  <si>
    <t>Molybdenum</t>
  </si>
  <si>
    <t>MOL</t>
  </si>
  <si>
    <t>Cadmium</t>
  </si>
  <si>
    <t>CAD</t>
  </si>
  <si>
    <t>Observation 18</t>
  </si>
  <si>
    <t>Countries may define strategic minerals according to dependency rather than importance.
The Indian framework appears to emphasise minerals where domestic availability is limited and import dependence is high. This differs from frameworks that focus on resource endowment, industrial development or supply-chain capability. As a result, some minerals regarded as strategically important elsewhere, such as aluminium or chromium, may be absent where domestic supply is already secure.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</si>
</sst>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sz val="8"/>
      <color theme="1"/>
      <name val="Segoe UI"/>
      <family val="2"/>
    </font>
    <font>
      <u/>
      <sz val="11"/>
      <color theme="10"/>
      <name val="Aptos Narrow"/>
      <family val="2"/>
      <scheme val="minor"/>
    </font>
    <font>
      <b/>
      <sz val="11"/>
      <color theme="0"/>
      <name val="Aptos Narrow"/>
      <family val="2"/>
      <scheme val="minor"/>
    </font>
    <font>
      <sz val="10"/>
      <color theme="1"/>
      <name val="Aptos Narrow"/>
      <family val="2"/>
      <scheme val="minor"/>
    </font>
    <font>
      <b/>
      <sz val="12"/>
      <color rgb="FF4D4D4D"/>
      <name val="宋体"/>
    </font>
    <font>
      <b/>
      <sz val="12"/>
      <color rgb="FF4D4D4D"/>
      <name val="Arial"/>
      <family val="2"/>
    </font>
    <font>
      <sz val="8"/>
      <name val="Aptos Narrow"/>
      <family val="2"/>
      <scheme val="minor"/>
    </font>
  </fonts>
  <fills count="5">
    <fill>
      <patternFill patternType="none"/>
    </fill>
    <fill>
      <patternFill patternType="gray125"/>
    </fill>
    <fill>
      <patternFill patternType="solid">
        <fgColor rgb="FFF5F5F5"/>
        <bgColor indexed="64"/>
      </patternFill>
    </fill>
    <fill>
      <patternFill patternType="solid">
        <fgColor theme="4" tint="0.79998168889431442"/>
        <bgColor theme="4" tint="0.79998168889431442"/>
      </patternFill>
    </fill>
    <fill>
      <patternFill patternType="solid">
        <fgColor theme="4"/>
        <bgColor theme="4"/>
      </patternFill>
    </fill>
  </fills>
  <borders count="5">
    <border>
      <left/>
      <right/>
      <top/>
      <bottom/>
      <diagonal/>
    </border>
    <border>
      <left style="medium">
        <color rgb="FFA3A3A3"/>
      </left>
      <right style="medium">
        <color rgb="FFA3A3A3"/>
      </right>
      <top style="medium">
        <color rgb="FFA3A3A3"/>
      </top>
      <bottom style="medium">
        <color rgb="FFA3A3A3"/>
      </bottom>
      <diagonal/>
    </border>
    <border>
      <left style="medium">
        <color rgb="FFA3A3A3"/>
      </left>
      <right style="medium">
        <color rgb="FFA3A3A3"/>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5" fillId="0" borderId="0" applyNumberFormat="0" applyFill="0" applyBorder="0" applyAlignment="0" applyProtection="0"/>
  </cellStyleXfs>
  <cellXfs count="27">
    <xf numFmtId="0" fontId="0" fillId="0" borderId="0" xfId="0"/>
    <xf numFmtId="0" fontId="3" fillId="2" borderId="1" xfId="0" applyFont="1" applyFill="1" applyBorder="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0" fillId="0" borderId="0" xfId="0" applyAlignment="1">
      <alignment wrapText="1"/>
    </xf>
    <xf numFmtId="0" fontId="1" fillId="0" borderId="0" xfId="0" applyFont="1"/>
    <xf numFmtId="0" fontId="0" fillId="0" borderId="0" xfId="0" pivotButton="1"/>
    <xf numFmtId="0" fontId="0" fillId="0" borderId="0" xfId="0" applyAlignment="1">
      <alignment horizontal="left"/>
    </xf>
    <xf numFmtId="0" fontId="0" fillId="0" borderId="0" xfId="0" applyAlignment="1">
      <alignment vertical="center"/>
    </xf>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0" fontId="4" fillId="0" borderId="0" xfId="0" applyFont="1" applyAlignment="1">
      <alignment vertical="center"/>
    </xf>
    <xf numFmtId="0" fontId="0" fillId="3" borderId="0" xfId="0" applyFill="1" applyAlignment="1">
      <alignment vertical="center"/>
    </xf>
    <xf numFmtId="0" fontId="5" fillId="0" borderId="0" xfId="1"/>
    <xf numFmtId="0" fontId="6" fillId="4" borderId="3" xfId="0" applyFont="1" applyFill="1" applyBorder="1"/>
    <xf numFmtId="0" fontId="7" fillId="0" borderId="0" xfId="0" applyFont="1" applyAlignment="1">
      <alignment vertical="center"/>
    </xf>
    <xf numFmtId="0" fontId="6" fillId="4" borderId="3" xfId="0" applyFont="1" applyFill="1" applyBorder="1" applyAlignment="1">
      <alignment horizontal="right" vertical="center"/>
    </xf>
    <xf numFmtId="0" fontId="6" fillId="4" borderId="4" xfId="0" applyFont="1" applyFill="1" applyBorder="1" applyAlignment="1">
      <alignment horizontal="center" vertical="center"/>
    </xf>
    <xf numFmtId="0" fontId="1" fillId="3" borderId="3" xfId="0" applyFont="1" applyFill="1" applyBorder="1" applyAlignment="1">
      <alignment horizontal="right" vertical="center"/>
    </xf>
    <xf numFmtId="0" fontId="0" fillId="3" borderId="4" xfId="0" applyFill="1" applyBorder="1" applyAlignment="1">
      <alignment vertical="center"/>
    </xf>
    <xf numFmtId="0" fontId="1" fillId="0" borderId="3" xfId="0" applyFont="1" applyBorder="1" applyAlignment="1">
      <alignment horizontal="right" vertical="center"/>
    </xf>
    <xf numFmtId="0" fontId="0" fillId="0" borderId="4" xfId="0" applyBorder="1" applyAlignment="1">
      <alignment vertical="center"/>
    </xf>
    <xf numFmtId="0" fontId="7" fillId="3" borderId="3" xfId="0" applyFont="1" applyFill="1" applyBorder="1" applyAlignment="1">
      <alignment vertical="center"/>
    </xf>
    <xf numFmtId="0" fontId="8" fillId="0" borderId="0" xfId="0" applyFont="1"/>
    <xf numFmtId="0" fontId="0" fillId="0" borderId="0" xfId="0" applyAlignment="1">
      <alignment horizontal="left" wrapText="1"/>
    </xf>
  </cellXfs>
  <cellStyles count="2">
    <cellStyle name="Hyperlink" xfId="1" builtinId="8"/>
    <cellStyle name="Normal" xfId="0" builtinId="0"/>
  </cellStyles>
  <dxfs count="37">
    <dxf>
      <font>
        <color rgb="FF006100"/>
      </font>
      <fill>
        <patternFill>
          <bgColor rgb="FFC6EFCE"/>
        </patternFill>
      </fill>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1"/>
        <name val="Aptos Narrow"/>
        <family val="2"/>
        <scheme val="minor"/>
      </font>
      <alignment horizontal="righ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dxf>
    <dxf>
      <numFmt numFmtId="0" formatCode="General"/>
    </dxf>
    <dxf>
      <alignment horizontal="right" vertical="center" textRotation="0" wrapText="1"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dxf>
    <dxf>
      <numFmt numFmtId="0" formatCode="General"/>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
      <numFmt numFmtId="0" formatCode="General"/>
    </dxf>
    <dxf>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92B273E5-E37B-4602-BD18-62D36FCA304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809-4805-AB50-3573D66D556C}"/>
                </c:ext>
              </c:extLst>
            </c:dLbl>
            <c:dLbl>
              <c:idx val="1"/>
              <c:tx>
                <c:rich>
                  <a:bodyPr/>
                  <a:lstStyle/>
                  <a:p>
                    <a:fld id="{620EC743-A6A1-420F-88FF-B80934651EB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809-4805-AB50-3573D66D556C}"/>
                </c:ext>
              </c:extLst>
            </c:dLbl>
            <c:dLbl>
              <c:idx val="2"/>
              <c:tx>
                <c:rich>
                  <a:bodyPr/>
                  <a:lstStyle/>
                  <a:p>
                    <a:fld id="{CB357F46-AF88-40A0-B331-89B75F2B969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809-4805-AB50-3573D66D556C}"/>
                </c:ext>
              </c:extLst>
            </c:dLbl>
            <c:dLbl>
              <c:idx val="3"/>
              <c:tx>
                <c:rich>
                  <a:bodyPr/>
                  <a:lstStyle/>
                  <a:p>
                    <a:fld id="{16FE0C04-5249-424F-84F4-7AB78A45B11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809-4805-AB50-3573D66D556C}"/>
                </c:ext>
              </c:extLst>
            </c:dLbl>
            <c:dLbl>
              <c:idx val="4"/>
              <c:tx>
                <c:rich>
                  <a:bodyPr/>
                  <a:lstStyle/>
                  <a:p>
                    <a:fld id="{EAC703FC-2DC9-4C9B-9D26-4EEE1090E48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809-4805-AB50-3573D66D556C}"/>
                </c:ext>
              </c:extLst>
            </c:dLbl>
            <c:dLbl>
              <c:idx val="5"/>
              <c:tx>
                <c:rich>
                  <a:bodyPr/>
                  <a:lstStyle/>
                  <a:p>
                    <a:fld id="{E428A83B-E726-44EE-9B02-84BA2B934C5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809-4805-AB50-3573D66D556C}"/>
                </c:ext>
              </c:extLst>
            </c:dLbl>
            <c:dLbl>
              <c:idx val="6"/>
              <c:tx>
                <c:rich>
                  <a:bodyPr/>
                  <a:lstStyle/>
                  <a:p>
                    <a:fld id="{DCD32A5A-787A-4A14-8444-F062148E69F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809-4805-AB50-3573D66D556C}"/>
                </c:ext>
              </c:extLst>
            </c:dLbl>
            <c:dLbl>
              <c:idx val="7"/>
              <c:tx>
                <c:rich>
                  <a:bodyPr/>
                  <a:lstStyle/>
                  <a:p>
                    <a:fld id="{2FBFD47A-43B3-49FD-BA45-CA3B5F8999F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809-4805-AB50-3573D66D556C}"/>
                </c:ext>
              </c:extLst>
            </c:dLbl>
            <c:dLbl>
              <c:idx val="8"/>
              <c:tx>
                <c:rich>
                  <a:bodyPr/>
                  <a:lstStyle/>
                  <a:p>
                    <a:fld id="{A2E869D2-848F-4FEA-A7A8-60047067B58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809-4805-AB50-3573D66D556C}"/>
                </c:ext>
              </c:extLst>
            </c:dLbl>
            <c:dLbl>
              <c:idx val="9"/>
              <c:tx>
                <c:rich>
                  <a:bodyPr/>
                  <a:lstStyle/>
                  <a:p>
                    <a:fld id="{DB66B7CC-13E0-49E2-AB25-F97A56A3F03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809-4805-AB50-3573D66D556C}"/>
                </c:ext>
              </c:extLst>
            </c:dLbl>
            <c:dLbl>
              <c:idx val="10"/>
              <c:tx>
                <c:rich>
                  <a:bodyPr/>
                  <a:lstStyle/>
                  <a:p>
                    <a:fld id="{859C10F6-6F7F-4C6A-8BA2-955101A822F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809-4805-AB50-3573D66D556C}"/>
                </c:ext>
              </c:extLst>
            </c:dLbl>
            <c:dLbl>
              <c:idx val="11"/>
              <c:tx>
                <c:rich>
                  <a:bodyPr/>
                  <a:lstStyle/>
                  <a:p>
                    <a:fld id="{AB9D3753-B071-429C-B907-3EC69980125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809-4805-AB50-3573D66D556C}"/>
                </c:ext>
              </c:extLst>
            </c:dLbl>
            <c:dLbl>
              <c:idx val="12"/>
              <c:tx>
                <c:rich>
                  <a:bodyPr/>
                  <a:lstStyle/>
                  <a:p>
                    <a:fld id="{D5C456E8-966B-425F-8365-C682C3B3FAD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809-4805-AB50-3573D66D556C}"/>
                </c:ext>
              </c:extLst>
            </c:dLbl>
            <c:dLbl>
              <c:idx val="13"/>
              <c:tx>
                <c:rich>
                  <a:bodyPr/>
                  <a:lstStyle/>
                  <a:p>
                    <a:fld id="{23AD12BC-77AB-4AD2-B9DB-51657EECDCE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809-4805-AB50-3573D66D556C}"/>
                </c:ext>
              </c:extLst>
            </c:dLbl>
            <c:dLbl>
              <c:idx val="14"/>
              <c:tx>
                <c:rich>
                  <a:bodyPr/>
                  <a:lstStyle/>
                  <a:p>
                    <a:fld id="{D0997E56-BCEE-4967-B54C-21860D8643A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809-4805-AB50-3573D66D556C}"/>
                </c:ext>
              </c:extLst>
            </c:dLbl>
            <c:dLbl>
              <c:idx val="15"/>
              <c:tx>
                <c:rich>
                  <a:bodyPr/>
                  <a:lstStyle/>
                  <a:p>
                    <a:fld id="{8EC23346-551F-4854-AE76-BF6DC6DB406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809-4805-AB50-3573D66D556C}"/>
                </c:ext>
              </c:extLst>
            </c:dLbl>
            <c:dLbl>
              <c:idx val="16"/>
              <c:tx>
                <c:rich>
                  <a:bodyPr/>
                  <a:lstStyle/>
                  <a:p>
                    <a:fld id="{F1873996-49C7-4522-91A8-A2DDF27B829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809-4805-AB50-3573D66D556C}"/>
                </c:ext>
              </c:extLst>
            </c:dLbl>
            <c:dLbl>
              <c:idx val="17"/>
              <c:tx>
                <c:rich>
                  <a:bodyPr/>
                  <a:lstStyle/>
                  <a:p>
                    <a:fld id="{383DC53B-A33E-40AB-9390-C565EF81151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809-4805-AB50-3573D66D556C}"/>
                </c:ext>
              </c:extLst>
            </c:dLbl>
            <c:dLbl>
              <c:idx val="18"/>
              <c:tx>
                <c:rich>
                  <a:bodyPr/>
                  <a:lstStyle/>
                  <a:p>
                    <a:fld id="{BA1CF24C-A55C-482D-8943-434771BF2C8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809-4805-AB50-3573D66D556C}"/>
                </c:ext>
              </c:extLst>
            </c:dLbl>
            <c:dLbl>
              <c:idx val="19"/>
              <c:tx>
                <c:rich>
                  <a:bodyPr/>
                  <a:lstStyle/>
                  <a:p>
                    <a:fld id="{42CF33C9-2CBC-4DBA-9B04-F378FB4CC72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D809-4805-AB50-3573D66D556C}"/>
                </c:ext>
              </c:extLst>
            </c:dLbl>
            <c:dLbl>
              <c:idx val="20"/>
              <c:tx>
                <c:rich>
                  <a:bodyPr/>
                  <a:lstStyle/>
                  <a:p>
                    <a:fld id="{816B8290-0AB0-46BD-B1E2-33C243018AE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D809-4805-AB50-3573D66D556C}"/>
                </c:ext>
              </c:extLst>
            </c:dLbl>
            <c:dLbl>
              <c:idx val="21"/>
              <c:tx>
                <c:rich>
                  <a:bodyPr/>
                  <a:lstStyle/>
                  <a:p>
                    <a:fld id="{0B1D87CA-A7E0-47E7-8552-83592E1D42FF}"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D809-4805-AB50-3573D66D556C}"/>
                </c:ext>
              </c:extLst>
            </c:dLbl>
            <c:dLbl>
              <c:idx val="22"/>
              <c:tx>
                <c:rich>
                  <a:bodyPr/>
                  <a:lstStyle/>
                  <a:p>
                    <a:fld id="{C30D2BED-02D9-4CE2-B20A-C634337DE2A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D809-4805-AB50-3573D66D556C}"/>
                </c:ext>
              </c:extLst>
            </c:dLbl>
            <c:dLbl>
              <c:idx val="23"/>
              <c:tx>
                <c:rich>
                  <a:bodyPr/>
                  <a:lstStyle/>
                  <a:p>
                    <a:fld id="{D74A0B96-332C-4AB3-9D69-6DC6501A393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D809-4805-AB50-3573D66D556C}"/>
                </c:ext>
              </c:extLst>
            </c:dLbl>
            <c:dLbl>
              <c:idx val="24"/>
              <c:tx>
                <c:rich>
                  <a:bodyPr/>
                  <a:lstStyle/>
                  <a:p>
                    <a:fld id="{DF77721A-4EF2-4625-A780-296E9112365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D809-4805-AB50-3573D66D556C}"/>
                </c:ext>
              </c:extLst>
            </c:dLbl>
            <c:dLbl>
              <c:idx val="25"/>
              <c:tx>
                <c:rich>
                  <a:bodyPr/>
                  <a:lstStyle/>
                  <a:p>
                    <a:fld id="{BE9F88A0-8B2C-4852-85F8-93456619531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D809-4805-AB50-3573D66D556C}"/>
                </c:ext>
              </c:extLst>
            </c:dLbl>
            <c:dLbl>
              <c:idx val="26"/>
              <c:tx>
                <c:rich>
                  <a:bodyPr/>
                  <a:lstStyle/>
                  <a:p>
                    <a:fld id="{D8690017-6D76-48B0-9615-905FEA74C0B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D809-4805-AB50-3573D66D556C}"/>
                </c:ext>
              </c:extLst>
            </c:dLbl>
            <c:dLbl>
              <c:idx val="27"/>
              <c:tx>
                <c:rich>
                  <a:bodyPr/>
                  <a:lstStyle/>
                  <a:p>
                    <a:fld id="{AC8BFFD6-B28F-429C-BEBA-E5AF977F502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D809-4805-AB50-3573D66D556C}"/>
                </c:ext>
              </c:extLst>
            </c:dLbl>
            <c:dLbl>
              <c:idx val="28"/>
              <c:tx>
                <c:rich>
                  <a:bodyPr/>
                  <a:lstStyle/>
                  <a:p>
                    <a:fld id="{63601870-13F3-4EB5-84A1-E3D869D5301F}"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D809-4805-AB50-3573D66D556C}"/>
                </c:ext>
              </c:extLst>
            </c:dLbl>
            <c:dLbl>
              <c:idx val="29"/>
              <c:tx>
                <c:rich>
                  <a:bodyPr/>
                  <a:lstStyle/>
                  <a:p>
                    <a:fld id="{21D01956-B0B1-41D6-BABA-3384272A295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D809-4805-AB50-3573D66D556C}"/>
                </c:ext>
              </c:extLst>
            </c:dLbl>
            <c:dLbl>
              <c:idx val="30"/>
              <c:tx>
                <c:rich>
                  <a:bodyPr/>
                  <a:lstStyle/>
                  <a:p>
                    <a:fld id="{6FD8EE8A-8DC3-4B8A-B052-9F62FC9DC79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D809-4805-AB50-3573D66D556C}"/>
                </c:ext>
              </c:extLst>
            </c:dLbl>
            <c:dLbl>
              <c:idx val="31"/>
              <c:tx>
                <c:rich>
                  <a:bodyPr/>
                  <a:lstStyle/>
                  <a:p>
                    <a:fld id="{5A67EED1-01AD-42A9-8D51-6F9A98F585F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D809-4805-AB50-3573D66D556C}"/>
                </c:ext>
              </c:extLst>
            </c:dLbl>
            <c:dLbl>
              <c:idx val="32"/>
              <c:tx>
                <c:rich>
                  <a:bodyPr/>
                  <a:lstStyle/>
                  <a:p>
                    <a:fld id="{4F2A7A2D-34B5-4419-8E5D-3121548B516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D809-4805-AB50-3573D66D556C}"/>
                </c:ext>
              </c:extLst>
            </c:dLbl>
            <c:dLbl>
              <c:idx val="33"/>
              <c:tx>
                <c:rich>
                  <a:bodyPr/>
                  <a:lstStyle/>
                  <a:p>
                    <a:fld id="{EC4A4672-3227-424E-B444-F32C70E6EED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D809-4805-AB50-3573D66D556C}"/>
                </c:ext>
              </c:extLst>
            </c:dLbl>
            <c:dLbl>
              <c:idx val="34"/>
              <c:tx>
                <c:rich>
                  <a:bodyPr/>
                  <a:lstStyle/>
                  <a:p>
                    <a:fld id="{B6F4CBE7-5FA0-4E71-A585-81575350BF9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D809-4805-AB50-3573D66D556C}"/>
                </c:ext>
              </c:extLst>
            </c:dLbl>
            <c:dLbl>
              <c:idx val="35"/>
              <c:tx>
                <c:rich>
                  <a:bodyPr/>
                  <a:lstStyle/>
                  <a:p>
                    <a:fld id="{EAB14787-23E5-45C1-821B-67A42B44814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D809-4805-AB50-3573D66D556C}"/>
                </c:ext>
              </c:extLst>
            </c:dLbl>
            <c:dLbl>
              <c:idx val="36"/>
              <c:tx>
                <c:rich>
                  <a:bodyPr/>
                  <a:lstStyle/>
                  <a:p>
                    <a:fld id="{F5222E2D-08FD-4B91-A724-69E7A31D6330}"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D809-4805-AB50-3573D66D556C}"/>
                </c:ext>
              </c:extLst>
            </c:dLbl>
            <c:dLbl>
              <c:idx val="37"/>
              <c:tx>
                <c:rich>
                  <a:bodyPr/>
                  <a:lstStyle/>
                  <a:p>
                    <a:fld id="{C8A2200E-9D69-4BDE-9043-FC28ABDB1A3F}"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D809-4805-AB50-3573D66D556C}"/>
                </c:ext>
              </c:extLst>
            </c:dLbl>
            <c:dLbl>
              <c:idx val="38"/>
              <c:tx>
                <c:rich>
                  <a:bodyPr/>
                  <a:lstStyle/>
                  <a:p>
                    <a:fld id="{03CE962C-460D-4AFE-BB5D-7B92342181A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D809-4805-AB50-3573D66D556C}"/>
                </c:ext>
              </c:extLst>
            </c:dLbl>
            <c:dLbl>
              <c:idx val="39"/>
              <c:tx>
                <c:rich>
                  <a:bodyPr/>
                  <a:lstStyle/>
                  <a:p>
                    <a:fld id="{CCCE269C-03CB-41DD-9454-9ACB3351794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D809-4805-AB50-3573D66D556C}"/>
                </c:ext>
              </c:extLst>
            </c:dLbl>
            <c:dLbl>
              <c:idx val="40"/>
              <c:tx>
                <c:rich>
                  <a:bodyPr/>
                  <a:lstStyle/>
                  <a:p>
                    <a:fld id="{051F12DD-2AF8-415C-8E6A-7E2B8EF0CC0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D809-4805-AB50-3573D66D556C}"/>
                </c:ext>
              </c:extLst>
            </c:dLbl>
            <c:dLbl>
              <c:idx val="41"/>
              <c:tx>
                <c:rich>
                  <a:bodyPr/>
                  <a:lstStyle/>
                  <a:p>
                    <a:fld id="{217B38F1-0A84-432A-9D73-A5D8EBD9EFA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D809-4805-AB50-3573D66D556C}"/>
                </c:ext>
              </c:extLst>
            </c:dLbl>
            <c:dLbl>
              <c:idx val="42"/>
              <c:tx>
                <c:rich>
                  <a:bodyPr/>
                  <a:lstStyle/>
                  <a:p>
                    <a:fld id="{F8E4CCCC-18AD-4CBA-813B-B6ADD944222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D809-4805-AB50-3573D66D556C}"/>
                </c:ext>
              </c:extLst>
            </c:dLbl>
            <c:dLbl>
              <c:idx val="43"/>
              <c:tx>
                <c:rich>
                  <a:bodyPr/>
                  <a:lstStyle/>
                  <a:p>
                    <a:fld id="{B7D029D5-DFCC-4972-BE5E-6C3D5754E61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D809-4805-AB50-3573D66D556C}"/>
                </c:ext>
              </c:extLst>
            </c:dLbl>
            <c:dLbl>
              <c:idx val="44"/>
              <c:tx>
                <c:rich>
                  <a:bodyPr/>
                  <a:lstStyle/>
                  <a:p>
                    <a:fld id="{85457FC9-5B6F-4770-A54B-9437DB02ACC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D809-4805-AB50-3573D66D556C}"/>
                </c:ext>
              </c:extLst>
            </c:dLbl>
            <c:dLbl>
              <c:idx val="45"/>
              <c:tx>
                <c:rich>
                  <a:bodyPr/>
                  <a:lstStyle/>
                  <a:p>
                    <a:fld id="{6CC5F2BA-A2C6-40C3-891D-F0A24DAAF04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D809-4805-AB50-3573D66D55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'Mineral Criticality Model'!$B$2:$B$47</c:f>
              <c:numCache>
                <c:formatCode>General</c:formatCode>
                <c:ptCount val="46"/>
                <c:pt idx="0">
                  <c:v>3</c:v>
                </c:pt>
                <c:pt idx="1">
                  <c:v>3</c:v>
                </c:pt>
                <c:pt idx="2">
                  <c:v>3</c:v>
                </c:pt>
                <c:pt idx="3">
                  <c:v>4</c:v>
                </c:pt>
                <c:pt idx="4">
                  <c:v>4</c:v>
                </c:pt>
                <c:pt idx="5">
                  <c:v>4</c:v>
                </c:pt>
                <c:pt idx="6">
                  <c:v>4</c:v>
                </c:pt>
                <c:pt idx="7">
                  <c:v>4</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6</c:v>
                </c:pt>
                <c:pt idx="34">
                  <c:v>6</c:v>
                </c:pt>
                <c:pt idx="35">
                  <c:v>6</c:v>
                </c:pt>
                <c:pt idx="36">
                  <c:v>6</c:v>
                </c:pt>
                <c:pt idx="37">
                  <c:v>6</c:v>
                </c:pt>
                <c:pt idx="38">
                  <c:v>6</c:v>
                </c:pt>
                <c:pt idx="39">
                  <c:v>6</c:v>
                </c:pt>
                <c:pt idx="40">
                  <c:v>5</c:v>
                </c:pt>
                <c:pt idx="41">
                  <c:v>5</c:v>
                </c:pt>
                <c:pt idx="42">
                  <c:v>5</c:v>
                </c:pt>
                <c:pt idx="43">
                  <c:v>7</c:v>
                </c:pt>
                <c:pt idx="44">
                  <c:v>6</c:v>
                </c:pt>
                <c:pt idx="45">
                  <c:v>13</c:v>
                </c:pt>
              </c:numCache>
            </c:numRef>
          </c:xVal>
          <c:yVal>
            <c:numRef>
              <c:f>'Mineral Criticality Model'!$C$2:$C$47</c:f>
              <c:numCache>
                <c:formatCode>General</c:formatCode>
                <c:ptCount val="46"/>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4</c:v>
                </c:pt>
                <c:pt idx="29">
                  <c:v>4</c:v>
                </c:pt>
                <c:pt idx="30">
                  <c:v>4</c:v>
                </c:pt>
                <c:pt idx="31">
                  <c:v>4</c:v>
                </c:pt>
                <c:pt idx="32">
                  <c:v>4</c:v>
                </c:pt>
                <c:pt idx="33">
                  <c:v>4</c:v>
                </c:pt>
                <c:pt idx="34">
                  <c:v>4</c:v>
                </c:pt>
                <c:pt idx="35">
                  <c:v>4</c:v>
                </c:pt>
                <c:pt idx="36">
                  <c:v>4</c:v>
                </c:pt>
                <c:pt idx="37">
                  <c:v>4</c:v>
                </c:pt>
                <c:pt idx="38">
                  <c:v>4</c:v>
                </c:pt>
                <c:pt idx="39">
                  <c:v>4</c:v>
                </c:pt>
                <c:pt idx="40">
                  <c:v>3</c:v>
                </c:pt>
                <c:pt idx="41">
                  <c:v>3</c:v>
                </c:pt>
                <c:pt idx="42">
                  <c:v>3</c:v>
                </c:pt>
                <c:pt idx="43">
                  <c:v>4</c:v>
                </c:pt>
                <c:pt idx="44">
                  <c:v>3</c:v>
                </c:pt>
                <c:pt idx="45">
                  <c:v>4</c:v>
                </c:pt>
              </c:numCache>
            </c:numRef>
          </c:yVal>
          <c:smooth val="0"/>
          <c:extLst>
            <c:ext xmlns:c15="http://schemas.microsoft.com/office/drawing/2012/chart" uri="{02D57815-91ED-43cb-92C2-25804820EDAC}">
              <c15:datalabelsRange>
                <c15:f>'Mineral Criticality Model'!$A$2:$A$47</c15:f>
                <c15:dlblRangeCache>
                  <c:ptCount val="46"/>
                  <c:pt idx="0">
                    <c:v>NIO</c:v>
                  </c:pt>
                  <c:pt idx="1">
                    <c:v>RHO</c:v>
                  </c:pt>
                  <c:pt idx="2">
                    <c:v>RUT</c:v>
                  </c:pt>
                  <c:pt idx="3">
                    <c:v>CES</c:v>
                  </c:pt>
                  <c:pt idx="4">
                    <c:v>IRI</c:v>
                  </c:pt>
                  <c:pt idx="5">
                    <c:v>PAL</c:v>
                  </c:pt>
                  <c:pt idx="6">
                    <c:v>PLA</c:v>
                  </c:pt>
                  <c:pt idx="7">
                    <c:v>RUB</c:v>
                  </c:pt>
                  <c:pt idx="8">
                    <c:v>ARS</c:v>
                  </c:pt>
                  <c:pt idx="9">
                    <c:v>BAR</c:v>
                  </c:pt>
                  <c:pt idx="10">
                    <c:v>BER</c:v>
                  </c:pt>
                  <c:pt idx="11">
                    <c:v>BIS</c:v>
                  </c:pt>
                  <c:pt idx="12">
                    <c:v>BOR</c:v>
                  </c:pt>
                  <c:pt idx="13">
                    <c:v>CHR</c:v>
                  </c:pt>
                  <c:pt idx="14">
                    <c:v>COB</c:v>
                  </c:pt>
                  <c:pt idx="15">
                    <c:v>FLU</c:v>
                  </c:pt>
                  <c:pt idx="16">
                    <c:v>GAL</c:v>
                  </c:pt>
                  <c:pt idx="17">
                    <c:v>GER</c:v>
                  </c:pt>
                  <c:pt idx="18">
                    <c:v>HAF</c:v>
                  </c:pt>
                  <c:pt idx="19">
                    <c:v>IND</c:v>
                  </c:pt>
                  <c:pt idx="20">
                    <c:v>LED</c:v>
                  </c:pt>
                  <c:pt idx="21">
                    <c:v>MAG</c:v>
                  </c:pt>
                  <c:pt idx="22">
                    <c:v>MAN</c:v>
                  </c:pt>
                  <c:pt idx="23">
                    <c:v>MCO</c:v>
                  </c:pt>
                  <c:pt idx="24">
                    <c:v>PHO</c:v>
                  </c:pt>
                  <c:pt idx="25">
                    <c:v>RHE</c:v>
                  </c:pt>
                  <c:pt idx="26">
                    <c:v>SIL</c:v>
                  </c:pt>
                  <c:pt idx="27">
                    <c:v>TAN</c:v>
                  </c:pt>
                  <c:pt idx="28">
                    <c:v>TEL</c:v>
                  </c:pt>
                  <c:pt idx="29">
                    <c:v>TIT</c:v>
                  </c:pt>
                  <c:pt idx="30">
                    <c:v>TUN</c:v>
                  </c:pt>
                  <c:pt idx="31">
                    <c:v>ZIN</c:v>
                  </c:pt>
                  <c:pt idx="32">
                    <c:v>ZIR</c:v>
                  </c:pt>
                  <c:pt idx="33">
                    <c:v>ALU</c:v>
                  </c:pt>
                  <c:pt idx="34">
                    <c:v>ANT</c:v>
                  </c:pt>
                  <c:pt idx="35">
                    <c:v>GRA</c:v>
                  </c:pt>
                  <c:pt idx="36">
                    <c:v>LIT</c:v>
                  </c:pt>
                  <c:pt idx="37">
                    <c:v>NIC</c:v>
                  </c:pt>
                  <c:pt idx="38">
                    <c:v>SLV</c:v>
                  </c:pt>
                  <c:pt idx="39">
                    <c:v>TIN</c:v>
                  </c:pt>
                  <c:pt idx="40">
                    <c:v>POT</c:v>
                  </c:pt>
                  <c:pt idx="41">
                    <c:v>SCA</c:v>
                  </c:pt>
                  <c:pt idx="42">
                    <c:v>VAN</c:v>
                  </c:pt>
                  <c:pt idx="43">
                    <c:v>COP</c:v>
                  </c:pt>
                  <c:pt idx="44">
                    <c:v>URA</c:v>
                  </c:pt>
                  <c:pt idx="45">
                    <c:v>REE</c:v>
                  </c:pt>
                </c15:dlblRangeCache>
              </c15:datalabelsRange>
            </c:ext>
            <c:ext xmlns:c16="http://schemas.microsoft.com/office/drawing/2014/chart" uri="{C3380CC4-5D6E-409C-BE32-E72D297353CC}">
              <c16:uniqueId val="{00000000-D809-4805-AB50-3573D66D556C}"/>
            </c:ext>
          </c:extLst>
        </c:ser>
        <c:dLbls>
          <c:showLegendKey val="0"/>
          <c:showVal val="0"/>
          <c:showCatName val="0"/>
          <c:showSerName val="0"/>
          <c:showPercent val="0"/>
          <c:showBubbleSize val="0"/>
        </c:dLbls>
        <c:axId val="965645696"/>
        <c:axId val="965646656"/>
      </c:scatterChart>
      <c:valAx>
        <c:axId val="965645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646656"/>
        <c:crosses val="autoZero"/>
        <c:crossBetween val="midCat"/>
      </c:valAx>
      <c:valAx>
        <c:axId val="96564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6456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46"/>
          <c:order val="0"/>
          <c:tx>
            <c:strRef>
              <c:f>'Country Strategic Scores'!$AV$1</c:f>
              <c:strCache>
                <c:ptCount val="1"/>
                <c:pt idx="0">
                  <c:v>Strategic Mineral Score</c:v>
                </c:pt>
              </c:strCache>
            </c:strRef>
          </c:tx>
          <c:spPr>
            <a:solidFill>
              <a:schemeClr val="accent5">
                <a:lumMod val="70000"/>
              </a:schemeClr>
            </a:solidFill>
            <a:ln>
              <a:noFill/>
            </a:ln>
            <a:effectLst/>
          </c:spPr>
          <c:invertIfNegative val="0"/>
          <c:cat>
            <c:strRef>
              <c:f>'Country Strategic Scores'!$A$2:$A$54</c:f>
              <c:strCache>
                <c:ptCount val="53"/>
                <c:pt idx="0">
                  <c:v>CHN</c:v>
                </c:pt>
                <c:pt idx="1">
                  <c:v>AUS</c:v>
                </c:pt>
                <c:pt idx="2">
                  <c:v>CAN</c:v>
                </c:pt>
                <c:pt idx="3">
                  <c:v>RUS</c:v>
                </c:pt>
                <c:pt idx="4">
                  <c:v>USA</c:v>
                </c:pt>
                <c:pt idx="5">
                  <c:v>ZAF</c:v>
                </c:pt>
                <c:pt idx="6">
                  <c:v>BRA</c:v>
                </c:pt>
                <c:pt idx="7">
                  <c:v>PER</c:v>
                </c:pt>
                <c:pt idx="8">
                  <c:v>CHL</c:v>
                </c:pt>
                <c:pt idx="9">
                  <c:v>BOL</c:v>
                </c:pt>
                <c:pt idx="10">
                  <c:v>IND</c:v>
                </c:pt>
                <c:pt idx="11">
                  <c:v>KAZ</c:v>
                </c:pt>
                <c:pt idx="12">
                  <c:v>MOZ</c:v>
                </c:pt>
                <c:pt idx="13">
                  <c:v>MEX</c:v>
                </c:pt>
                <c:pt idx="14">
                  <c:v>ZWE</c:v>
                </c:pt>
                <c:pt idx="15">
                  <c:v>IDN</c:v>
                </c:pt>
                <c:pt idx="16">
                  <c:v>COD</c:v>
                </c:pt>
                <c:pt idx="17">
                  <c:v>UZB</c:v>
                </c:pt>
                <c:pt idx="18">
                  <c:v>NER</c:v>
                </c:pt>
                <c:pt idx="19">
                  <c:v>NAM</c:v>
                </c:pt>
                <c:pt idx="20">
                  <c:v>TUR</c:v>
                </c:pt>
                <c:pt idx="21">
                  <c:v>MDG</c:v>
                </c:pt>
                <c:pt idx="22">
                  <c:v>NOR</c:v>
                </c:pt>
                <c:pt idx="23">
                  <c:v>VNM</c:v>
                </c:pt>
                <c:pt idx="24">
                  <c:v>BEL</c:v>
                </c:pt>
                <c:pt idx="25">
                  <c:v>ARG</c:v>
                </c:pt>
                <c:pt idx="26">
                  <c:v>MAR</c:v>
                </c:pt>
                <c:pt idx="27">
                  <c:v>MMR</c:v>
                </c:pt>
                <c:pt idx="28">
                  <c:v>POL</c:v>
                </c:pt>
                <c:pt idx="29">
                  <c:v>UKR</c:v>
                </c:pt>
                <c:pt idx="30">
                  <c:v>RWA</c:v>
                </c:pt>
                <c:pt idx="31">
                  <c:v>DEU</c:v>
                </c:pt>
                <c:pt idx="32">
                  <c:v>PRK</c:v>
                </c:pt>
                <c:pt idx="33">
                  <c:v>FIN</c:v>
                </c:pt>
                <c:pt idx="34">
                  <c:v>ZMB</c:v>
                </c:pt>
                <c:pt idx="35">
                  <c:v>CUB</c:v>
                </c:pt>
                <c:pt idx="36">
                  <c:v>MWI</c:v>
                </c:pt>
                <c:pt idx="37">
                  <c:v>EGY</c:v>
                </c:pt>
                <c:pt idx="38">
                  <c:v>PHL</c:v>
                </c:pt>
                <c:pt idx="39">
                  <c:v>NGA</c:v>
                </c:pt>
                <c:pt idx="40">
                  <c:v>BLR</c:v>
                </c:pt>
                <c:pt idx="41">
                  <c:v>TZA</c:v>
                </c:pt>
                <c:pt idx="42">
                  <c:v>JAM</c:v>
                </c:pt>
                <c:pt idx="43">
                  <c:v>SWE</c:v>
                </c:pt>
                <c:pt idx="44">
                  <c:v>ESP</c:v>
                </c:pt>
                <c:pt idx="45">
                  <c:v>GRL</c:v>
                </c:pt>
                <c:pt idx="46">
                  <c:v>GIN</c:v>
                </c:pt>
                <c:pt idx="47">
                  <c:v>MNG</c:v>
                </c:pt>
                <c:pt idx="48">
                  <c:v>JPN</c:v>
                </c:pt>
                <c:pt idx="49">
                  <c:v>SAU</c:v>
                </c:pt>
                <c:pt idx="50">
                  <c:v>GAB</c:v>
                </c:pt>
                <c:pt idx="51">
                  <c:v>TJK</c:v>
                </c:pt>
                <c:pt idx="52">
                  <c:v>JOR</c:v>
                </c:pt>
              </c:strCache>
            </c:strRef>
          </c:cat>
          <c:val>
            <c:numRef>
              <c:f>'Country Strategic Scores'!$AV$2:$AV$54</c:f>
              <c:numCache>
                <c:formatCode>General</c:formatCode>
                <c:ptCount val="53"/>
                <c:pt idx="0">
                  <c:v>18.241025641025644</c:v>
                </c:pt>
                <c:pt idx="1">
                  <c:v>18.17912087912088</c:v>
                </c:pt>
                <c:pt idx="2">
                  <c:v>14.479120879120881</c:v>
                </c:pt>
                <c:pt idx="3">
                  <c:v>13.874358974358977</c:v>
                </c:pt>
                <c:pt idx="4">
                  <c:v>12.174358974358977</c:v>
                </c:pt>
                <c:pt idx="5">
                  <c:v>10.67912087912088</c:v>
                </c:pt>
                <c:pt idx="6">
                  <c:v>9.0410256410256409</c:v>
                </c:pt>
                <c:pt idx="7">
                  <c:v>7.5047619047619047</c:v>
                </c:pt>
                <c:pt idx="8">
                  <c:v>7.2410256410256402</c:v>
                </c:pt>
                <c:pt idx="9">
                  <c:v>5.1999999999999993</c:v>
                </c:pt>
                <c:pt idx="10">
                  <c:v>4.666666666666667</c:v>
                </c:pt>
                <c:pt idx="11">
                  <c:v>7.4666666666666659</c:v>
                </c:pt>
                <c:pt idx="12">
                  <c:v>4.3047619047619055</c:v>
                </c:pt>
                <c:pt idx="13">
                  <c:v>4.5</c:v>
                </c:pt>
                <c:pt idx="14">
                  <c:v>4.6666666666666661</c:v>
                </c:pt>
                <c:pt idx="15">
                  <c:v>3.638095238095238</c:v>
                </c:pt>
                <c:pt idx="16">
                  <c:v>3.1743589743589746</c:v>
                </c:pt>
                <c:pt idx="17">
                  <c:v>3.8666666666666663</c:v>
                </c:pt>
                <c:pt idx="18">
                  <c:v>3.3743589743589739</c:v>
                </c:pt>
                <c:pt idx="19">
                  <c:v>2.9333333333333331</c:v>
                </c:pt>
                <c:pt idx="20">
                  <c:v>2.4000000000000004</c:v>
                </c:pt>
                <c:pt idx="21">
                  <c:v>3.3</c:v>
                </c:pt>
                <c:pt idx="22">
                  <c:v>2.2666666666666666</c:v>
                </c:pt>
                <c:pt idx="23">
                  <c:v>2.2000000000000002</c:v>
                </c:pt>
                <c:pt idx="24">
                  <c:v>2.4000000000000004</c:v>
                </c:pt>
                <c:pt idx="25">
                  <c:v>2.1333333333333333</c:v>
                </c:pt>
                <c:pt idx="26">
                  <c:v>2.0666666666666669</c:v>
                </c:pt>
                <c:pt idx="27">
                  <c:v>2.2666666666666666</c:v>
                </c:pt>
                <c:pt idx="28">
                  <c:v>2.4000000000000004</c:v>
                </c:pt>
                <c:pt idx="29">
                  <c:v>1.7743589743589745</c:v>
                </c:pt>
                <c:pt idx="30">
                  <c:v>2.4000000000000004</c:v>
                </c:pt>
                <c:pt idx="31">
                  <c:v>1.4</c:v>
                </c:pt>
                <c:pt idx="32">
                  <c:v>1.6</c:v>
                </c:pt>
                <c:pt idx="33">
                  <c:v>1.6</c:v>
                </c:pt>
                <c:pt idx="34">
                  <c:v>1.6</c:v>
                </c:pt>
                <c:pt idx="35">
                  <c:v>1.6</c:v>
                </c:pt>
                <c:pt idx="36">
                  <c:v>1.6</c:v>
                </c:pt>
                <c:pt idx="37">
                  <c:v>1.1076923076923078</c:v>
                </c:pt>
                <c:pt idx="38">
                  <c:v>1.4666666666666668</c:v>
                </c:pt>
                <c:pt idx="39">
                  <c:v>1.4666666666666668</c:v>
                </c:pt>
                <c:pt idx="40">
                  <c:v>1.6</c:v>
                </c:pt>
                <c:pt idx="41">
                  <c:v>1.6</c:v>
                </c:pt>
                <c:pt idx="42">
                  <c:v>1.1076923076923078</c:v>
                </c:pt>
                <c:pt idx="43">
                  <c:v>1.3</c:v>
                </c:pt>
                <c:pt idx="44">
                  <c:v>1.6</c:v>
                </c:pt>
                <c:pt idx="45">
                  <c:v>1.6</c:v>
                </c:pt>
                <c:pt idx="46">
                  <c:v>1.6</c:v>
                </c:pt>
                <c:pt idx="47">
                  <c:v>1.6</c:v>
                </c:pt>
                <c:pt idx="48">
                  <c:v>1.6</c:v>
                </c:pt>
                <c:pt idx="49">
                  <c:v>1.6</c:v>
                </c:pt>
                <c:pt idx="50">
                  <c:v>1.4666666666666668</c:v>
                </c:pt>
                <c:pt idx="51">
                  <c:v>1.3</c:v>
                </c:pt>
                <c:pt idx="52">
                  <c:v>1.3714285714285714</c:v>
                </c:pt>
              </c:numCache>
            </c:numRef>
          </c:val>
          <c:extLst>
            <c:ext xmlns:c16="http://schemas.microsoft.com/office/drawing/2014/chart" uri="{C3380CC4-5D6E-409C-BE32-E72D297353CC}">
              <c16:uniqueId val="{0000002E-4954-4DAD-A805-77E529BABD33}"/>
            </c:ext>
          </c:extLst>
        </c:ser>
        <c:dLbls>
          <c:showLegendKey val="0"/>
          <c:showVal val="0"/>
          <c:showCatName val="0"/>
          <c:showSerName val="0"/>
          <c:showPercent val="0"/>
          <c:showBubbleSize val="0"/>
        </c:dLbls>
        <c:gapWidth val="182"/>
        <c:axId val="1396373551"/>
        <c:axId val="1168171023"/>
      </c:barChart>
      <c:catAx>
        <c:axId val="1396373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171023"/>
        <c:crosses val="autoZero"/>
        <c:auto val="1"/>
        <c:lblAlgn val="ctr"/>
        <c:lblOffset val="100"/>
        <c:noMultiLvlLbl val="0"/>
      </c:catAx>
      <c:valAx>
        <c:axId val="1168171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373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12</xdr:col>
      <xdr:colOff>563880</xdr:colOff>
      <xdr:row>1</xdr:row>
      <xdr:rowOff>60960</xdr:rowOff>
    </xdr:from>
    <xdr:to>
      <xdr:col>23</xdr:col>
      <xdr:colOff>251460</xdr:colOff>
      <xdr:row>11</xdr:row>
      <xdr:rowOff>41910</xdr:rowOff>
    </xdr:to>
    <xdr:sp macro="" textlink="">
      <xdr:nvSpPr>
        <xdr:cNvPr id="2" name="TextBox 1">
          <a:extLst>
            <a:ext uri="{FF2B5EF4-FFF2-40B4-BE49-F238E27FC236}">
              <a16:creationId xmlns:a16="http://schemas.microsoft.com/office/drawing/2014/main" id="{B5CEB760-A9DE-84A9-B3C2-2316E2EF15A1}"/>
            </a:ext>
          </a:extLst>
        </xdr:cNvPr>
        <xdr:cNvSpPr txBox="1"/>
      </xdr:nvSpPr>
      <xdr:spPr>
        <a:xfrm>
          <a:off x="8785860" y="243840"/>
          <a:ext cx="6393180" cy="180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dk1"/>
              </a:solidFill>
              <a:effectLst/>
              <a:latin typeface="+mn-lt"/>
              <a:ea typeface="+mn-ea"/>
              <a:cs typeface="+mn-cs"/>
            </a:rPr>
            <a:t>Compares how different jurisdictions classify minerals as critical, strategic, growth-related or development-related. Each column represents a different national or institutional framework (USGS, EU, Australia, UK, Malaysia, Zimbabwe, India,</a:t>
          </a:r>
          <a:r>
            <a:rPr lang="en-GB" sz="1100" b="0" i="0" baseline="0">
              <a:solidFill>
                <a:schemeClr val="dk1"/>
              </a:solidFill>
              <a:effectLst/>
              <a:latin typeface="+mn-lt"/>
              <a:ea typeface="+mn-ea"/>
              <a:cs typeface="+mn-cs"/>
            </a:rPr>
            <a:t> </a:t>
          </a:r>
          <a:r>
            <a:rPr lang="en-GB" sz="1100" b="0" i="0">
              <a:solidFill>
                <a:schemeClr val="dk1"/>
              </a:solidFill>
              <a:effectLst/>
              <a:latin typeface="+mn-lt"/>
              <a:ea typeface="+mn-ea"/>
              <a:cs typeface="+mn-cs"/>
            </a:rPr>
            <a:t>China and South Africa). The table converts multiple independent mineral lists into a common binary format, allowing direct comparison between countries and institutions.</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dk1"/>
              </a:solidFill>
              <a:effectLst/>
              <a:latin typeface="+mn-lt"/>
              <a:ea typeface="+mn-ea"/>
              <a:cs typeface="+mn-cs"/>
            </a:rPr>
            <a:t>This table is not really about minerals. It is about national priorities. Different countries classify minerals differently because they are trying to solve different problems. Some countries focus on supply security, others on industrial development, strategic autonomy or value capture. The Recognition Score measures how many independent frameworks recognise a mineral as strategically important.</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a:solidFill>
              <a:schemeClr val="dk1"/>
            </a:solidFill>
            <a:effectLst/>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373380</xdr:colOff>
      <xdr:row>0</xdr:row>
      <xdr:rowOff>64770</xdr:rowOff>
    </xdr:from>
    <xdr:to>
      <xdr:col>3</xdr:col>
      <xdr:colOff>2522220</xdr:colOff>
      <xdr:row>7</xdr:row>
      <xdr:rowOff>144780</xdr:rowOff>
    </xdr:to>
    <xdr:sp macro="" textlink="">
      <xdr:nvSpPr>
        <xdr:cNvPr id="2" name="TextBox 1">
          <a:extLst>
            <a:ext uri="{FF2B5EF4-FFF2-40B4-BE49-F238E27FC236}">
              <a16:creationId xmlns:a16="http://schemas.microsoft.com/office/drawing/2014/main" id="{007DB546-42EC-8740-CDC0-BB66E25EA7F8}"/>
            </a:ext>
          </a:extLst>
        </xdr:cNvPr>
        <xdr:cNvSpPr txBox="1"/>
      </xdr:nvSpPr>
      <xdr:spPr>
        <a:xfrm>
          <a:off x="7139940" y="64770"/>
          <a:ext cx="5532120" cy="1413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dk1"/>
              </a:solidFill>
              <a:effectLst/>
              <a:latin typeface="+mn-lt"/>
              <a:ea typeface="+mn-ea"/>
              <a:cs typeface="+mn-cs"/>
            </a:rPr>
            <a:t>Stores the underlying geological dataset from the US Federal</a:t>
          </a:r>
          <a:r>
            <a:rPr lang="en-GB" sz="1100" b="0" i="0" baseline="0">
              <a:solidFill>
                <a:schemeClr val="dk1"/>
              </a:solidFill>
              <a:effectLst/>
              <a:latin typeface="+mn-lt"/>
              <a:ea typeface="+mn-ea"/>
              <a:cs typeface="+mn-cs"/>
            </a:rPr>
            <a:t> Critical Minerals list</a:t>
          </a:r>
          <a:r>
            <a:rPr lang="en-GB" sz="1100" b="0" i="0">
              <a:solidFill>
                <a:schemeClr val="dk1"/>
              </a:solidFill>
              <a:effectLst/>
              <a:latin typeface="+mn-lt"/>
              <a:ea typeface="+mn-ea"/>
              <a:cs typeface="+mn-cs"/>
            </a:rPr>
            <a:t>. Each mineral is linked to countries that possess significant deposits. This is the primary source dataset from which country-mineral relationships are derived.</a:t>
          </a:r>
        </a:p>
        <a:p>
          <a:br>
            <a:rPr lang="en-GB" sz="1100"/>
          </a:br>
          <a:r>
            <a:rPr lang="en-GB" sz="1100"/>
            <a:t>This sheet represents resource endowment only. It does not indicate production volumes, refining capability or economic value. It answers:</a:t>
          </a:r>
          <a:r>
            <a:rPr lang="en-GB" sz="1100" baseline="0"/>
            <a:t> "</a:t>
          </a:r>
          <a:r>
            <a:rPr lang="en-GB" sz="1100"/>
            <a:t>Which countries possess important mineral resources?"</a:t>
          </a:r>
          <a:r>
            <a:rPr lang="en-GB" sz="1100" baseline="0"/>
            <a:t> NOT "</a:t>
          </a:r>
          <a:r>
            <a:rPr lang="en-GB" sz="1100"/>
            <a:t>Which countries control supply chains?"</a:t>
          </a: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50</xdr:col>
      <xdr:colOff>114300</xdr:colOff>
      <xdr:row>0</xdr:row>
      <xdr:rowOff>152400</xdr:rowOff>
    </xdr:from>
    <xdr:to>
      <xdr:col>57</xdr:col>
      <xdr:colOff>0</xdr:colOff>
      <xdr:row>8</xdr:row>
      <xdr:rowOff>137160</xdr:rowOff>
    </xdr:to>
    <xdr:sp macro="" textlink="">
      <xdr:nvSpPr>
        <xdr:cNvPr id="2" name="TextBox 1">
          <a:extLst>
            <a:ext uri="{FF2B5EF4-FFF2-40B4-BE49-F238E27FC236}">
              <a16:creationId xmlns:a16="http://schemas.microsoft.com/office/drawing/2014/main" id="{287E4A2E-C374-6168-A8B0-F98B26DD9019}"/>
            </a:ext>
          </a:extLst>
        </xdr:cNvPr>
        <xdr:cNvSpPr txBox="1"/>
      </xdr:nvSpPr>
      <xdr:spPr>
        <a:xfrm>
          <a:off x="30853380" y="152400"/>
          <a:ext cx="4152900" cy="144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Converts the raw mineral occurrence data from</a:t>
          </a:r>
          <a:r>
            <a:rPr lang="en-GB" sz="1100" baseline="0"/>
            <a:t> 01_raw_data</a:t>
          </a:r>
          <a:r>
            <a:rPr lang="en-GB" sz="1100"/>
            <a:t> into a country-mineral matrix. Countries form the rows and minerals form the columns. A value of 1 indicates the country hosts a significant deposit.</a:t>
          </a:r>
        </a:p>
        <a:p>
          <a:endParaRPr lang="en-GB" sz="1100"/>
        </a:p>
        <a:p>
          <a:r>
            <a:rPr lang="en-GB" sz="1100"/>
            <a:t>This is the foundation of the supply model. It allows comparison of countries by mineral diversity and forms the basis for producer counts, strategic scores and network analysis.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403411</xdr:colOff>
      <xdr:row>0</xdr:row>
      <xdr:rowOff>98612</xdr:rowOff>
    </xdr:from>
    <xdr:to>
      <xdr:col>8</xdr:col>
      <xdr:colOff>582705</xdr:colOff>
      <xdr:row>6</xdr:row>
      <xdr:rowOff>143435</xdr:rowOff>
    </xdr:to>
    <xdr:sp macro="" textlink="">
      <xdr:nvSpPr>
        <xdr:cNvPr id="2" name="TextBox 1">
          <a:extLst>
            <a:ext uri="{FF2B5EF4-FFF2-40B4-BE49-F238E27FC236}">
              <a16:creationId xmlns:a16="http://schemas.microsoft.com/office/drawing/2014/main" id="{791126A8-FAA2-AE1A-D4C0-B1434D25A973}"/>
            </a:ext>
          </a:extLst>
        </xdr:cNvPr>
        <xdr:cNvSpPr txBox="1"/>
      </xdr:nvSpPr>
      <xdr:spPr>
        <a:xfrm>
          <a:off x="2671482" y="98612"/>
          <a:ext cx="3227294" cy="112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dk1"/>
              </a:solidFill>
              <a:effectLst/>
              <a:latin typeface="+mn-lt"/>
              <a:ea typeface="+mn-ea"/>
              <a:cs typeface="+mn-cs"/>
            </a:rPr>
            <a:t>Counts the number of countries associated with each mineral.</a:t>
          </a:r>
        </a:p>
        <a:p>
          <a:endParaRPr lang="en-GB" sz="1100"/>
        </a:p>
        <a:p>
          <a:r>
            <a:rPr lang="en-GB" sz="1100"/>
            <a:t>This provides a simple proxy for scarcity</a:t>
          </a:r>
          <a:r>
            <a:rPr lang="en-GB" sz="1100" baseline="0"/>
            <a:t> i.e. less producers, more scarce mineral. Therefore, a more concrentrated supply</a:t>
          </a:r>
          <a:endParaRPr lang="en-GB"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12813</xdr:colOff>
      <xdr:row>13</xdr:row>
      <xdr:rowOff>82101</xdr:rowOff>
    </xdr:from>
    <xdr:to>
      <xdr:col>15</xdr:col>
      <xdr:colOff>268695</xdr:colOff>
      <xdr:row>38</xdr:row>
      <xdr:rowOff>77960</xdr:rowOff>
    </xdr:to>
    <xdr:graphicFrame macro="">
      <xdr:nvGraphicFramePr>
        <xdr:cNvPr id="2" name="Chart 1">
          <a:extLst>
            <a:ext uri="{FF2B5EF4-FFF2-40B4-BE49-F238E27FC236}">
              <a16:creationId xmlns:a16="http://schemas.microsoft.com/office/drawing/2014/main" id="{D5DCED25-3688-4FDB-68C4-9D113134E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294409</xdr:colOff>
      <xdr:row>3</xdr:row>
      <xdr:rowOff>164523</xdr:rowOff>
    </xdr:from>
    <xdr:to>
      <xdr:col>16</xdr:col>
      <xdr:colOff>337705</xdr:colOff>
      <xdr:row>10</xdr:row>
      <xdr:rowOff>34637</xdr:rowOff>
    </xdr:to>
    <xdr:sp macro="" textlink="">
      <xdr:nvSpPr>
        <xdr:cNvPr id="3" name="TextBox 2">
          <a:extLst>
            <a:ext uri="{FF2B5EF4-FFF2-40B4-BE49-F238E27FC236}">
              <a16:creationId xmlns:a16="http://schemas.microsoft.com/office/drawing/2014/main" id="{A00D8A48-7369-288B-DDD5-6C434E0AC9ED}"/>
            </a:ext>
          </a:extLst>
        </xdr:cNvPr>
        <xdr:cNvSpPr txBox="1"/>
      </xdr:nvSpPr>
      <xdr:spPr>
        <a:xfrm>
          <a:off x="7871114" y="710046"/>
          <a:ext cx="6104659"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GB" sz="1100" b="0" i="0">
              <a:solidFill>
                <a:schemeClr val="dk1"/>
              </a:solidFill>
              <a:effectLst/>
              <a:latin typeface="+mn-lt"/>
              <a:ea typeface="+mn-ea"/>
              <a:cs typeface="+mn-cs"/>
            </a:rPr>
            <a:t>This Sheet</a:t>
          </a:r>
          <a:r>
            <a:rPr lang="en-GB" sz="1100" b="0" i="0" baseline="0">
              <a:solidFill>
                <a:schemeClr val="dk1"/>
              </a:solidFill>
              <a:effectLst/>
              <a:latin typeface="+mn-lt"/>
              <a:ea typeface="+mn-ea"/>
              <a:cs typeface="+mn-cs"/>
            </a:rPr>
            <a:t> </a:t>
          </a:r>
          <a:r>
            <a:rPr lang="en-GB" sz="1100" b="0" i="0">
              <a:solidFill>
                <a:schemeClr val="dk1"/>
              </a:solidFill>
              <a:effectLst/>
              <a:latin typeface="+mn-lt"/>
              <a:ea typeface="+mn-ea"/>
              <a:cs typeface="+mn-cs"/>
            </a:rPr>
            <a:t>combine</a:t>
          </a:r>
          <a:r>
            <a:rPr lang="en-GB" sz="1100" b="0" i="0" baseline="0">
              <a:solidFill>
                <a:schemeClr val="dk1"/>
              </a:solidFill>
              <a:effectLst/>
              <a:latin typeface="+mn-lt"/>
              <a:ea typeface="+mn-ea"/>
              <a:cs typeface="+mn-cs"/>
            </a:rPr>
            <a:t>s </a:t>
          </a:r>
          <a:r>
            <a:rPr lang="en-GB" sz="1100" b="0" i="0">
              <a:solidFill>
                <a:schemeClr val="dk1"/>
              </a:solidFill>
              <a:effectLst/>
              <a:latin typeface="+mn-lt"/>
              <a:ea typeface="+mn-ea"/>
              <a:cs typeface="+mn-cs"/>
            </a:rPr>
            <a:t>producer count,</a:t>
          </a:r>
          <a:r>
            <a:rPr lang="en-GB" sz="1100" b="0" i="0" baseline="0">
              <a:solidFill>
                <a:schemeClr val="dk1"/>
              </a:solidFill>
              <a:effectLst/>
              <a:latin typeface="+mn-lt"/>
              <a:ea typeface="+mn-ea"/>
              <a:cs typeface="+mn-cs"/>
            </a:rPr>
            <a:t> </a:t>
          </a:r>
          <a:r>
            <a:rPr lang="en-GB" sz="1100" b="0" i="0">
              <a:solidFill>
                <a:schemeClr val="dk1"/>
              </a:solidFill>
              <a:effectLst/>
              <a:latin typeface="+mn-lt"/>
              <a:ea typeface="+mn-ea"/>
              <a:cs typeface="+mn-cs"/>
            </a:rPr>
            <a:t>manufacturing demand,</a:t>
          </a:r>
          <a:r>
            <a:rPr lang="en-GB" sz="1100" b="0" i="0" baseline="0">
              <a:solidFill>
                <a:schemeClr val="dk1"/>
              </a:solidFill>
              <a:effectLst/>
              <a:latin typeface="+mn-lt"/>
              <a:ea typeface="+mn-ea"/>
              <a:cs typeface="+mn-cs"/>
            </a:rPr>
            <a:t> </a:t>
          </a:r>
          <a:r>
            <a:rPr lang="en-GB" sz="1100" b="0" i="0">
              <a:solidFill>
                <a:schemeClr val="dk1"/>
              </a:solidFill>
              <a:effectLst/>
              <a:latin typeface="+mn-lt"/>
              <a:ea typeface="+mn-ea"/>
              <a:cs typeface="+mn-cs"/>
            </a:rPr>
            <a:t>scarcity.</a:t>
          </a:r>
        </a:p>
        <a:p>
          <a:pPr fontAlgn="t"/>
          <a:r>
            <a:rPr lang="en-GB" sz="1100" b="0" i="0">
              <a:solidFill>
                <a:schemeClr val="dk1"/>
              </a:solidFill>
              <a:effectLst/>
              <a:latin typeface="+mn-lt"/>
              <a:ea typeface="+mn-ea"/>
              <a:cs typeface="+mn-cs"/>
            </a:rPr>
            <a:t>It</a:t>
          </a:r>
          <a:r>
            <a:rPr lang="en-GB" sz="1100" b="0" i="0" baseline="0">
              <a:solidFill>
                <a:schemeClr val="dk1"/>
              </a:solidFill>
              <a:effectLst/>
              <a:latin typeface="+mn-lt"/>
              <a:ea typeface="+mn-ea"/>
              <a:cs typeface="+mn-cs"/>
            </a:rPr>
            <a:t> creates a </a:t>
          </a:r>
          <a:r>
            <a:rPr lang="en-GB" sz="1100" b="0" i="0">
              <a:solidFill>
                <a:schemeClr val="dk1"/>
              </a:solidFill>
              <a:effectLst/>
              <a:latin typeface="+mn-lt"/>
              <a:ea typeface="+mn-ea"/>
              <a:cs typeface="+mn-cs"/>
            </a:rPr>
            <a:t>first-order criticality metric.</a:t>
          </a:r>
        </a:p>
        <a:p>
          <a:pPr fontAlgn="t"/>
          <a:endParaRPr lang="en-GB" sz="1100" b="0" i="0">
            <a:solidFill>
              <a:schemeClr val="dk1"/>
            </a:solidFill>
            <a:effectLst/>
            <a:latin typeface="+mn-lt"/>
            <a:ea typeface="+mn-ea"/>
            <a:cs typeface="+mn-cs"/>
          </a:endParaRPr>
        </a:p>
        <a:p>
          <a:pPr fontAlgn="t"/>
          <a:r>
            <a:rPr lang="en-GB" sz="1100" b="0" i="0">
              <a:solidFill>
                <a:schemeClr val="dk1"/>
              </a:solidFill>
              <a:effectLst/>
              <a:latin typeface="+mn-lt"/>
              <a:ea typeface="+mn-ea"/>
              <a:cs typeface="+mn-cs"/>
            </a:rPr>
            <a:t>The goal is to estimate which minerals support a wide range of industrial activity while also having relatively concentrated supply. It is a simplified strategic importance model rather than a full market analysis.</a:t>
          </a:r>
        </a:p>
        <a:p>
          <a:endParaRPr lang="en-GB"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187496</xdr:colOff>
      <xdr:row>18</xdr:row>
      <xdr:rowOff>180412</xdr:rowOff>
    </xdr:from>
    <xdr:to>
      <xdr:col>23</xdr:col>
      <xdr:colOff>149395</xdr:colOff>
      <xdr:row>52</xdr:row>
      <xdr:rowOff>74161</xdr:rowOff>
    </xdr:to>
    <xdr:graphicFrame macro="">
      <xdr:nvGraphicFramePr>
        <xdr:cNvPr id="2" name="Chart 1">
          <a:extLst>
            <a:ext uri="{FF2B5EF4-FFF2-40B4-BE49-F238E27FC236}">
              <a16:creationId xmlns:a16="http://schemas.microsoft.com/office/drawing/2014/main" id="{DC3E4732-A553-D571-AD71-913E59B65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48</xdr:col>
      <xdr:colOff>581891</xdr:colOff>
      <xdr:row>1</xdr:row>
      <xdr:rowOff>41564</xdr:rowOff>
    </xdr:from>
    <xdr:to>
      <xdr:col>57</xdr:col>
      <xdr:colOff>540327</xdr:colOff>
      <xdr:row>7</xdr:row>
      <xdr:rowOff>11723</xdr:rowOff>
    </xdr:to>
    <xdr:sp macro="" textlink="">
      <xdr:nvSpPr>
        <xdr:cNvPr id="3" name="TextBox 2">
          <a:extLst>
            <a:ext uri="{FF2B5EF4-FFF2-40B4-BE49-F238E27FC236}">
              <a16:creationId xmlns:a16="http://schemas.microsoft.com/office/drawing/2014/main" id="{DA74A161-BDF2-27B3-7DFE-039E3CDEDE03}"/>
            </a:ext>
          </a:extLst>
        </xdr:cNvPr>
        <xdr:cNvSpPr txBox="1"/>
      </xdr:nvSpPr>
      <xdr:spPr>
        <a:xfrm>
          <a:off x="30886045" y="223272"/>
          <a:ext cx="5444836" cy="10604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GB" sz="1100" b="0" i="0">
              <a:solidFill>
                <a:schemeClr val="dk1"/>
              </a:solidFill>
              <a:effectLst/>
              <a:latin typeface="+mn-lt"/>
              <a:ea typeface="+mn-ea"/>
              <a:cs typeface="+mn-cs"/>
            </a:rPr>
            <a:t>Calculates country-level strategic mineral scores by summing the weighted importance of the minerals present in each country.</a:t>
          </a:r>
        </a:p>
        <a:p>
          <a:pPr fontAlgn="t"/>
          <a:endParaRPr lang="en-GB" sz="1100" b="0" i="0">
            <a:solidFill>
              <a:schemeClr val="dk1"/>
            </a:solidFill>
            <a:effectLst/>
            <a:latin typeface="+mn-lt"/>
            <a:ea typeface="+mn-ea"/>
            <a:cs typeface="+mn-cs"/>
          </a:endParaRPr>
        </a:p>
        <a:p>
          <a:pPr fontAlgn="t"/>
          <a:r>
            <a:rPr lang="en-GB" sz="1100" b="0" i="0">
              <a:solidFill>
                <a:schemeClr val="dk1"/>
              </a:solidFill>
              <a:effectLst/>
              <a:latin typeface="+mn-lt"/>
              <a:ea typeface="+mn-ea"/>
              <a:cs typeface="+mn-cs"/>
            </a:rPr>
            <a:t>Estimates the strategic significance of national mineral endowments. High scores indicate countries possessing a broad portfolio of strategically recognised minerals.</a:t>
          </a:r>
        </a:p>
        <a:p>
          <a:endParaRPr lang="en-GB"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45720</xdr:colOff>
      <xdr:row>1</xdr:row>
      <xdr:rowOff>15240</xdr:rowOff>
    </xdr:from>
    <xdr:to>
      <xdr:col>12</xdr:col>
      <xdr:colOff>121920</xdr:colOff>
      <xdr:row>6</xdr:row>
      <xdr:rowOff>144780</xdr:rowOff>
    </xdr:to>
    <xdr:sp macro="" textlink="">
      <xdr:nvSpPr>
        <xdr:cNvPr id="2" name="TextBox 1">
          <a:extLst>
            <a:ext uri="{FF2B5EF4-FFF2-40B4-BE49-F238E27FC236}">
              <a16:creationId xmlns:a16="http://schemas.microsoft.com/office/drawing/2014/main" id="{BD1CB124-E5AE-0AE0-F49C-D78D70ED1019}"/>
            </a:ext>
          </a:extLst>
        </xdr:cNvPr>
        <xdr:cNvSpPr txBox="1"/>
      </xdr:nvSpPr>
      <xdr:spPr>
        <a:xfrm>
          <a:off x="3825240" y="198120"/>
          <a:ext cx="4953000" cy="1043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dk1"/>
              </a:solidFill>
              <a:effectLst/>
              <a:latin typeface="+mn-lt"/>
              <a:ea typeface="+mn-ea"/>
              <a:cs typeface="+mn-cs"/>
            </a:rPr>
            <a:t>Links minerals to product applications and then links those applications to economic sectors.</a:t>
          </a:r>
        </a:p>
        <a:p>
          <a:endParaRPr lang="en-GB" sz="1100"/>
        </a:p>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dk1"/>
              </a:solidFill>
              <a:effectLst/>
              <a:latin typeface="+mn-lt"/>
              <a:ea typeface="+mn-ea"/>
              <a:cs typeface="+mn-cs"/>
            </a:rPr>
            <a:t>This sheet is the conceptual bridge between geology and industry. It explains why a mineral matters by showing what products and sectors depend on it.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117231</xdr:colOff>
      <xdr:row>0</xdr:row>
      <xdr:rowOff>283308</xdr:rowOff>
    </xdr:from>
    <xdr:to>
      <xdr:col>20</xdr:col>
      <xdr:colOff>9770</xdr:colOff>
      <xdr:row>9</xdr:row>
      <xdr:rowOff>9769</xdr:rowOff>
    </xdr:to>
    <xdr:sp macro="" textlink="">
      <xdr:nvSpPr>
        <xdr:cNvPr id="2" name="TextBox 1">
          <a:extLst>
            <a:ext uri="{FF2B5EF4-FFF2-40B4-BE49-F238E27FC236}">
              <a16:creationId xmlns:a16="http://schemas.microsoft.com/office/drawing/2014/main" id="{710002F9-20D8-F208-4202-361E972FE635}"/>
            </a:ext>
          </a:extLst>
        </xdr:cNvPr>
        <xdr:cNvSpPr txBox="1"/>
      </xdr:nvSpPr>
      <xdr:spPr>
        <a:xfrm>
          <a:off x="7707923" y="283308"/>
          <a:ext cx="4132385" cy="1758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GB" sz="1100" b="0" i="0">
              <a:solidFill>
                <a:schemeClr val="dk1"/>
              </a:solidFill>
              <a:effectLst/>
              <a:latin typeface="+mn-lt"/>
              <a:ea typeface="+mn-ea"/>
              <a:cs typeface="+mn-cs"/>
            </a:rPr>
            <a:t>Aggregates the product-level mapping into sector-level demand.</a:t>
          </a:r>
        </a:p>
        <a:p>
          <a:pPr fontAlgn="t"/>
          <a:r>
            <a:rPr lang="en-GB" sz="1100" b="0" i="0">
              <a:solidFill>
                <a:schemeClr val="dk1"/>
              </a:solidFill>
              <a:effectLst/>
              <a:latin typeface="+mn-lt"/>
              <a:ea typeface="+mn-ea"/>
              <a:cs typeface="+mn-cs"/>
            </a:rPr>
            <a:t>It counts how many product applications connect each mineral to each sector.</a:t>
          </a:r>
        </a:p>
        <a:p>
          <a:pPr fontAlgn="t"/>
          <a:endParaRPr lang="en-GB" sz="1100" b="0" i="0">
            <a:solidFill>
              <a:schemeClr val="dk1"/>
            </a:solidFill>
            <a:effectLst/>
            <a:latin typeface="+mn-lt"/>
            <a:ea typeface="+mn-ea"/>
            <a:cs typeface="+mn-cs"/>
          </a:endParaRPr>
        </a:p>
        <a:p>
          <a:pPr fontAlgn="t"/>
          <a:r>
            <a:rPr lang="en-GB" sz="1100" b="0" i="0">
              <a:solidFill>
                <a:schemeClr val="dk1"/>
              </a:solidFill>
              <a:effectLst/>
              <a:latin typeface="+mn-lt"/>
              <a:ea typeface="+mn-ea"/>
              <a:cs typeface="+mn-cs"/>
            </a:rPr>
            <a:t>This provides a simplified measure of industrial dependency. It allows comparison of minerals according to the breadth of their industrial use rather than simply their geological occurrence.</a:t>
          </a:r>
        </a:p>
        <a:p>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12</xdr:col>
      <xdr:colOff>599606</xdr:colOff>
      <xdr:row>1</xdr:row>
      <xdr:rowOff>1</xdr:rowOff>
    </xdr:from>
    <xdr:to>
      <xdr:col>20</xdr:col>
      <xdr:colOff>349770</xdr:colOff>
      <xdr:row>10</xdr:row>
      <xdr:rowOff>87443</xdr:rowOff>
    </xdr:to>
    <xdr:sp macro="" textlink="">
      <xdr:nvSpPr>
        <xdr:cNvPr id="2" name="TextBox 1">
          <a:extLst>
            <a:ext uri="{FF2B5EF4-FFF2-40B4-BE49-F238E27FC236}">
              <a16:creationId xmlns:a16="http://schemas.microsoft.com/office/drawing/2014/main" id="{8E9D1CE0-CA40-CFD2-F2D9-963BB6282E32}"/>
            </a:ext>
          </a:extLst>
        </xdr:cNvPr>
        <xdr:cNvSpPr txBox="1"/>
      </xdr:nvSpPr>
      <xdr:spPr>
        <a:xfrm>
          <a:off x="6776803" y="181132"/>
          <a:ext cx="4646951" cy="17176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GB" sz="1100" b="0" i="0">
              <a:solidFill>
                <a:schemeClr val="dk1"/>
              </a:solidFill>
              <a:effectLst/>
              <a:latin typeface="+mn-lt"/>
              <a:ea typeface="+mn-ea"/>
              <a:cs typeface="+mn-cs"/>
            </a:rPr>
            <a:t>Summarises the geographical location of the largest representative manufacturing companies associated with each sector from the sector-country</a:t>
          </a:r>
          <a:r>
            <a:rPr lang="en-GB" sz="1100" b="0" i="0" baseline="0">
              <a:solidFill>
                <a:schemeClr val="dk1"/>
              </a:solidFill>
              <a:effectLst/>
              <a:latin typeface="+mn-lt"/>
              <a:ea typeface="+mn-ea"/>
              <a:cs typeface="+mn-cs"/>
            </a:rPr>
            <a:t> list</a:t>
          </a:r>
          <a:r>
            <a:rPr lang="en-GB" sz="1100" b="0" i="0">
              <a:solidFill>
                <a:schemeClr val="dk1"/>
              </a:solidFill>
              <a:effectLst/>
              <a:latin typeface="+mn-lt"/>
              <a:ea typeface="+mn-ea"/>
              <a:cs typeface="+mn-cs"/>
            </a:rPr>
            <a:t>.</a:t>
          </a:r>
        </a:p>
        <a:p>
          <a:pPr fontAlgn="t"/>
          <a:endParaRPr lang="en-GB" sz="1100" b="0" i="0">
            <a:solidFill>
              <a:schemeClr val="dk1"/>
            </a:solidFill>
            <a:effectLst/>
            <a:latin typeface="+mn-lt"/>
            <a:ea typeface="+mn-ea"/>
            <a:cs typeface="+mn-cs"/>
          </a:endParaRPr>
        </a:p>
        <a:p>
          <a:pPr fontAlgn="t"/>
          <a:r>
            <a:rPr lang="en-GB" sz="1100" b="0" i="0">
              <a:solidFill>
                <a:schemeClr val="dk1"/>
              </a:solidFill>
              <a:effectLst/>
              <a:latin typeface="+mn-lt"/>
              <a:ea typeface="+mn-ea"/>
              <a:cs typeface="+mn-cs"/>
            </a:rPr>
            <a:t>This provides a proxy for where manufacturing and industrial activity occurs. It supports producer-versus-manufacturer comparisons by connecting minerals to industrial economies.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82062</xdr:colOff>
      <xdr:row>1</xdr:row>
      <xdr:rowOff>46893</xdr:rowOff>
    </xdr:from>
    <xdr:to>
      <xdr:col>17</xdr:col>
      <xdr:colOff>386862</xdr:colOff>
      <xdr:row>11</xdr:row>
      <xdr:rowOff>131380</xdr:rowOff>
    </xdr:to>
    <xdr:sp macro="" textlink="">
      <xdr:nvSpPr>
        <xdr:cNvPr id="2" name="TextBox 1">
          <a:extLst>
            <a:ext uri="{FF2B5EF4-FFF2-40B4-BE49-F238E27FC236}">
              <a16:creationId xmlns:a16="http://schemas.microsoft.com/office/drawing/2014/main" id="{682F789E-60BB-43D4-3D8E-CBEED2F8EFE1}"/>
            </a:ext>
          </a:extLst>
        </xdr:cNvPr>
        <xdr:cNvSpPr txBox="1"/>
      </xdr:nvSpPr>
      <xdr:spPr>
        <a:xfrm>
          <a:off x="6808683" y="230824"/>
          <a:ext cx="7010400" cy="19237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Contains the underlying company-level dataset used to build sector-country relationships. Largely taken</a:t>
          </a:r>
          <a:r>
            <a:rPr lang="en-GB" sz="1100" baseline="0"/>
            <a:t> from top 10 firms from different sectors globally.</a:t>
          </a:r>
          <a:endParaRPr lang="en-GB" sz="1100"/>
        </a:p>
        <a:p>
          <a:r>
            <a:rPr lang="en-GB" sz="1100"/>
            <a:t>Each company is associated with:</a:t>
          </a:r>
        </a:p>
        <a:p>
          <a:r>
            <a:rPr lang="en-GB" sz="1100"/>
            <a:t>sector,</a:t>
          </a:r>
        </a:p>
        <a:p>
          <a:r>
            <a:rPr lang="en-GB" sz="1100"/>
            <a:t>country,</a:t>
          </a:r>
        </a:p>
        <a:p>
          <a:r>
            <a:rPr lang="en-GB" sz="1100"/>
            <a:t>revenue,</a:t>
          </a:r>
        </a:p>
        <a:p>
          <a:r>
            <a:rPr lang="en-GB" sz="1100"/>
            <a:t>ranking.</a:t>
          </a:r>
        </a:p>
        <a:p>
          <a:endParaRPr lang="en-GB" sz="1100"/>
        </a:p>
        <a:p>
          <a:r>
            <a:rPr lang="en-GB" sz="1100"/>
            <a:t>This is a proxy dataset representing the geography of industrial demand. It is not intended to model exact mineral consumption but rather the location of industrial and manufacturing capability.</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30480</xdr:colOff>
      <xdr:row>151</xdr:row>
      <xdr:rowOff>15240</xdr:rowOff>
    </xdr:from>
    <xdr:to>
      <xdr:col>10</xdr:col>
      <xdr:colOff>213360</xdr:colOff>
      <xdr:row>157</xdr:row>
      <xdr:rowOff>167640</xdr:rowOff>
    </xdr:to>
    <xdr:sp macro="" textlink="">
      <xdr:nvSpPr>
        <xdr:cNvPr id="2" name="TextBox 1">
          <a:extLst>
            <a:ext uri="{FF2B5EF4-FFF2-40B4-BE49-F238E27FC236}">
              <a16:creationId xmlns:a16="http://schemas.microsoft.com/office/drawing/2014/main" id="{2EA726AF-F389-8079-83D9-CD2A10169B4B}"/>
            </a:ext>
          </a:extLst>
        </xdr:cNvPr>
        <xdr:cNvSpPr txBox="1"/>
      </xdr:nvSpPr>
      <xdr:spPr>
        <a:xfrm>
          <a:off x="2857500" y="27630120"/>
          <a:ext cx="3840480" cy="1249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GB" sz="1100" b="0" i="0">
              <a:solidFill>
                <a:schemeClr val="dk1"/>
              </a:solidFill>
              <a:effectLst/>
              <a:latin typeface="+mn-lt"/>
              <a:ea typeface="+mn-ea"/>
              <a:cs typeface="+mn-cs"/>
            </a:rPr>
            <a:t>Reference table containing ISO3 country codes and continent assignments.</a:t>
          </a:r>
        </a:p>
        <a:p>
          <a:pPr fontAlgn="t"/>
          <a:endParaRPr lang="en-GB" sz="1100" b="0" i="0">
            <a:solidFill>
              <a:schemeClr val="dk1"/>
            </a:solidFill>
            <a:effectLst/>
            <a:latin typeface="+mn-lt"/>
            <a:ea typeface="+mn-ea"/>
            <a:cs typeface="+mn-cs"/>
          </a:endParaRPr>
        </a:p>
        <a:p>
          <a:pPr fontAlgn="t"/>
          <a:r>
            <a:rPr lang="en-GB" sz="1100" b="0" i="0">
              <a:solidFill>
                <a:schemeClr val="dk1"/>
              </a:solidFill>
              <a:effectLst/>
              <a:latin typeface="+mn-lt"/>
              <a:ea typeface="+mn-ea"/>
              <a:cs typeface="+mn-cs"/>
            </a:rPr>
            <a:t>Provides standardisation and prevents spelling inconsistencies when joining datasets, performing lookups or migrating to Python.</a:t>
          </a:r>
        </a:p>
        <a:p>
          <a:endParaRPr lang="en-GB"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106680</xdr:colOff>
      <xdr:row>1</xdr:row>
      <xdr:rowOff>38100</xdr:rowOff>
    </xdr:from>
    <xdr:to>
      <xdr:col>10</xdr:col>
      <xdr:colOff>266700</xdr:colOff>
      <xdr:row>11</xdr:row>
      <xdr:rowOff>99060</xdr:rowOff>
    </xdr:to>
    <xdr:sp macro="" textlink="">
      <xdr:nvSpPr>
        <xdr:cNvPr id="2" name="TextBox 1">
          <a:extLst>
            <a:ext uri="{FF2B5EF4-FFF2-40B4-BE49-F238E27FC236}">
              <a16:creationId xmlns:a16="http://schemas.microsoft.com/office/drawing/2014/main" id="{ABB9D9DD-43CD-4DF4-FAF0-53B18EC7E025}"/>
            </a:ext>
          </a:extLst>
        </xdr:cNvPr>
        <xdr:cNvSpPr txBox="1"/>
      </xdr:nvSpPr>
      <xdr:spPr>
        <a:xfrm>
          <a:off x="2461260" y="220980"/>
          <a:ext cx="4427220" cy="1889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GB" sz="1100" b="0" i="0">
              <a:solidFill>
                <a:schemeClr val="dk1"/>
              </a:solidFill>
              <a:effectLst/>
              <a:latin typeface="+mn-lt"/>
              <a:ea typeface="+mn-ea"/>
              <a:cs typeface="+mn-cs"/>
            </a:rPr>
            <a:t>Reference table converting mineral names into standardised 3-letter codes.</a:t>
          </a:r>
        </a:p>
        <a:p>
          <a:pPr fontAlgn="t"/>
          <a:endParaRPr lang="en-GB" sz="1100" b="0" i="0">
            <a:solidFill>
              <a:schemeClr val="dk1"/>
            </a:solidFill>
            <a:effectLst/>
            <a:latin typeface="+mn-lt"/>
            <a:ea typeface="+mn-ea"/>
            <a:cs typeface="+mn-cs"/>
          </a:endParaRPr>
        </a:p>
        <a:p>
          <a:pPr fontAlgn="t"/>
          <a:r>
            <a:rPr lang="en-GB" sz="1100" b="0" i="0">
              <a:solidFill>
                <a:schemeClr val="dk1"/>
              </a:solidFill>
              <a:effectLst/>
              <a:latin typeface="+mn-lt"/>
              <a:ea typeface="+mn-ea"/>
              <a:cs typeface="+mn-cs"/>
            </a:rPr>
            <a:t>Allows consistent analysis, simplifies joins and improves readability of matrices, charts and Python models.</a:t>
          </a:r>
        </a:p>
        <a:p>
          <a:endParaRPr lang="en-GB"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5</xdr:col>
      <xdr:colOff>38100</xdr:colOff>
      <xdr:row>1</xdr:row>
      <xdr:rowOff>137160</xdr:rowOff>
    </xdr:from>
    <xdr:to>
      <xdr:col>12</xdr:col>
      <xdr:colOff>30480</xdr:colOff>
      <xdr:row>9</xdr:row>
      <xdr:rowOff>121920</xdr:rowOff>
    </xdr:to>
    <xdr:sp macro="" textlink="">
      <xdr:nvSpPr>
        <xdr:cNvPr id="2" name="TextBox 1">
          <a:extLst>
            <a:ext uri="{FF2B5EF4-FFF2-40B4-BE49-F238E27FC236}">
              <a16:creationId xmlns:a16="http://schemas.microsoft.com/office/drawing/2014/main" id="{F0375B82-E070-303C-6A08-31981271F6FE}"/>
            </a:ext>
          </a:extLst>
        </xdr:cNvPr>
        <xdr:cNvSpPr txBox="1"/>
      </xdr:nvSpPr>
      <xdr:spPr>
        <a:xfrm>
          <a:off x="9845040" y="320040"/>
          <a:ext cx="4259580" cy="144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GB" sz="1100" b="0" i="0">
              <a:solidFill>
                <a:schemeClr val="dk1"/>
              </a:solidFill>
              <a:effectLst/>
              <a:latin typeface="+mn-lt"/>
              <a:ea typeface="+mn-ea"/>
              <a:cs typeface="+mn-cs"/>
            </a:rPr>
            <a:t>Defines industrial sectors and their elasticity assumptions.</a:t>
          </a:r>
        </a:p>
        <a:p>
          <a:pPr fontAlgn="t"/>
          <a:endParaRPr lang="en-GB" sz="1100" b="0" i="0">
            <a:solidFill>
              <a:schemeClr val="dk1"/>
            </a:solidFill>
            <a:effectLst/>
            <a:latin typeface="+mn-lt"/>
            <a:ea typeface="+mn-ea"/>
            <a:cs typeface="+mn-cs"/>
          </a:endParaRPr>
        </a:p>
        <a:p>
          <a:pPr fontAlgn="t"/>
          <a:r>
            <a:rPr lang="en-GB" sz="1100" b="0" i="0">
              <a:solidFill>
                <a:schemeClr val="dk1"/>
              </a:solidFill>
              <a:effectLst/>
              <a:latin typeface="+mn-lt"/>
              <a:ea typeface="+mn-ea"/>
              <a:cs typeface="+mn-cs"/>
            </a:rPr>
            <a:t>Provides a framework for understanding industrial dependency and substitution potential. Low elasticity sectors are assumed to have fewer alternatives and therefore stronger strategic dependency on inputs. NOTE: elasticity</a:t>
          </a:r>
          <a:r>
            <a:rPr lang="en-GB" sz="1100" b="0" i="0" baseline="0">
              <a:solidFill>
                <a:schemeClr val="dk1"/>
              </a:solidFill>
              <a:effectLst/>
              <a:latin typeface="+mn-lt"/>
              <a:ea typeface="+mn-ea"/>
              <a:cs typeface="+mn-cs"/>
            </a:rPr>
            <a:t> values are indicative from professional judgement.</a:t>
          </a:r>
          <a:endParaRPr lang="en-GB" sz="1100" b="0" i="0">
            <a:solidFill>
              <a:schemeClr val="dk1"/>
            </a:solidFill>
            <a:effectLst/>
            <a:latin typeface="+mn-lt"/>
            <a:ea typeface="+mn-ea"/>
            <a:cs typeface="+mn-cs"/>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12</xdr:col>
      <xdr:colOff>441960</xdr:colOff>
      <xdr:row>1</xdr:row>
      <xdr:rowOff>30480</xdr:rowOff>
    </xdr:from>
    <xdr:to>
      <xdr:col>20</xdr:col>
      <xdr:colOff>525780</xdr:colOff>
      <xdr:row>8</xdr:row>
      <xdr:rowOff>99060</xdr:rowOff>
    </xdr:to>
    <xdr:sp macro="" textlink="">
      <xdr:nvSpPr>
        <xdr:cNvPr id="2" name="TextBox 1">
          <a:extLst>
            <a:ext uri="{FF2B5EF4-FFF2-40B4-BE49-F238E27FC236}">
              <a16:creationId xmlns:a16="http://schemas.microsoft.com/office/drawing/2014/main" id="{9D363E3F-3072-F32C-21FA-0A7FB52E4E58}"/>
            </a:ext>
          </a:extLst>
        </xdr:cNvPr>
        <xdr:cNvSpPr txBox="1"/>
      </xdr:nvSpPr>
      <xdr:spPr>
        <a:xfrm>
          <a:off x="7757160" y="213360"/>
          <a:ext cx="4960620"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dk1"/>
              </a:solidFill>
              <a:effectLst/>
              <a:latin typeface="+mn-lt"/>
              <a:ea typeface="+mn-ea"/>
              <a:cs typeface="+mn-cs"/>
            </a:rPr>
            <a:t>Documents the provenance of the datasets and assumptions used throughout the model.</a:t>
          </a:r>
        </a:p>
        <a:p>
          <a:endParaRPr lang="en-GB" sz="1100"/>
        </a:p>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dk1"/>
              </a:solidFill>
              <a:effectLst/>
              <a:latin typeface="+mn-lt"/>
              <a:ea typeface="+mn-ea"/>
              <a:cs typeface="+mn-cs"/>
            </a:rPr>
            <a:t>This is the audit trail. It allows future users to understand where data originated and enables the model to be updated as new information becomes available.</a:t>
          </a:r>
        </a:p>
        <a:p>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Robert" refreshedDate="46288.574286226853" createdVersion="8" refreshedVersion="8" minRefreshableVersion="3" recordCount="100" xr:uid="{36FB79D6-FDB5-4F86-A498-1B8EA3AD6E8D}">
  <cacheSource type="worksheet">
    <worksheetSource name="Table6"/>
  </cacheSource>
  <cacheFields count="5">
    <cacheField name="Sector Code" numFmtId="0">
      <sharedItems count="10">
        <s v="ADS "/>
        <s v="AGR "/>
        <s v="CHM "/>
        <s v="AUT "/>
        <s v="CON "/>
        <s v="CEE "/>
        <s v="ELS "/>
        <s v="EPG "/>
        <s v="HCS "/>
        <s v="MSM "/>
      </sharedItems>
    </cacheField>
    <cacheField name="Company" numFmtId="0">
      <sharedItems/>
    </cacheField>
    <cacheField name="Country Code" numFmtId="0">
      <sharedItems count="23">
        <s v="USA"/>
        <s v="DEU"/>
        <s v="JPN"/>
        <s v="CHN"/>
        <s v="KOR"/>
        <s v="CHE"/>
        <s v="NLD"/>
        <s v="TWN"/>
        <s v="NOR"/>
        <s v="FRA"/>
        <s v="ITA"/>
        <s v="ESP"/>
        <s v="AUS"/>
        <s v="TUR"/>
        <s v="LUX"/>
        <s v="BRA"/>
        <s v="CAN"/>
        <s v="GBR"/>
        <s v="SAU"/>
        <s v="DNK"/>
        <s v="MAR"/>
        <s v="ISR"/>
        <s v="IND"/>
      </sharedItems>
    </cacheField>
    <cacheField name="Revenue ($bn)" numFmtId="0">
      <sharedItems containsSemiMixedTypes="0" containsString="0" containsNumber="1" minValue="3" maxValue="450"/>
    </cacheField>
    <cacheField name="Rank" numFmtId="0">
      <sharedItems containsSemiMixedTypes="0" containsString="0" containsNumber="1" minValue="1" maxValue="9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UnitedHealth"/>
    <x v="0"/>
    <n v="450"/>
    <n v="1"/>
  </r>
  <r>
    <x v="0"/>
    <s v="CVS Health"/>
    <x v="0"/>
    <n v="408"/>
    <n v="2"/>
  </r>
  <r>
    <x v="0"/>
    <s v="McKesson"/>
    <x v="0"/>
    <n v="403"/>
    <n v="3"/>
  </r>
  <r>
    <x v="1"/>
    <s v="Volkswagen Group"/>
    <x v="1"/>
    <n v="365"/>
    <n v="4"/>
  </r>
  <r>
    <x v="1"/>
    <s v="Toyota"/>
    <x v="2"/>
    <n v="334"/>
    <n v="5"/>
  </r>
  <r>
    <x v="0"/>
    <s v="Cencora"/>
    <x v="0"/>
    <n v="329"/>
    <n v="6"/>
  </r>
  <r>
    <x v="2"/>
    <s v="China State Construction Engineering"/>
    <x v="3"/>
    <n v="304"/>
    <n v="7"/>
  </r>
  <r>
    <x v="0"/>
    <s v="Cigna"/>
    <x v="0"/>
    <n v="277"/>
    <n v="8"/>
  </r>
  <r>
    <x v="3"/>
    <s v="Samsung Electronics"/>
    <x v="4"/>
    <n v="271"/>
    <n v="9"/>
  </r>
  <r>
    <x v="3"/>
    <s v="NVIDIA"/>
    <x v="0"/>
    <n v="253"/>
    <n v="10"/>
  </r>
  <r>
    <x v="0"/>
    <s v="Cardinal Health"/>
    <x v="0"/>
    <n v="251"/>
    <n v="11"/>
  </r>
  <r>
    <x v="4"/>
    <s v="Glencore"/>
    <x v="5"/>
    <n v="218"/>
    <n v="12"/>
  </r>
  <r>
    <x v="0"/>
    <s v="Elevance Health"/>
    <x v="0"/>
    <n v="201"/>
    <n v="13"/>
  </r>
  <r>
    <x v="0"/>
    <s v="Centene"/>
    <x v="0"/>
    <n v="198"/>
    <n v="14"/>
  </r>
  <r>
    <x v="1"/>
    <s v="Ford"/>
    <x v="0"/>
    <n v="190"/>
    <n v="15"/>
  </r>
  <r>
    <x v="1"/>
    <s v="General Motors"/>
    <x v="0"/>
    <n v="186"/>
    <n v="16"/>
  </r>
  <r>
    <x v="1"/>
    <s v="Stellantis"/>
    <x v="6"/>
    <n v="178"/>
    <n v="17"/>
  </r>
  <r>
    <x v="2"/>
    <s v="China Railway Group"/>
    <x v="3"/>
    <n v="161"/>
    <n v="18"/>
  </r>
  <r>
    <x v="1"/>
    <s v="BMW"/>
    <x v="1"/>
    <n v="152"/>
    <n v="19"/>
  </r>
  <r>
    <x v="1"/>
    <s v="Mercedes-Benz"/>
    <x v="1"/>
    <n v="151"/>
    <n v="20"/>
  </r>
  <r>
    <x v="2"/>
    <s v="China Railway Construction Corp"/>
    <x v="3"/>
    <n v="148"/>
    <n v="21"/>
  </r>
  <r>
    <x v="1"/>
    <s v="Honda"/>
    <x v="2"/>
    <n v="144"/>
    <n v="22"/>
  </r>
  <r>
    <x v="1"/>
    <s v="Hyundai"/>
    <x v="4"/>
    <n v="132"/>
    <n v="23"/>
  </r>
  <r>
    <x v="3"/>
    <s v="TSMC"/>
    <x v="7"/>
    <n v="122"/>
    <n v="24"/>
  </r>
  <r>
    <x v="1"/>
    <s v="BYD"/>
    <x v="3"/>
    <n v="107"/>
    <n v="25"/>
  </r>
  <r>
    <x v="2"/>
    <s v="China Communications Construction"/>
    <x v="3"/>
    <n v="104"/>
    <n v="26.5"/>
  </r>
  <r>
    <x v="5"/>
    <s v="Equinor"/>
    <x v="8"/>
    <n v="104"/>
    <n v="26.5"/>
  </r>
  <r>
    <x v="0"/>
    <s v="Johnson &amp; Johnson"/>
    <x v="0"/>
    <n v="94"/>
    <n v="28"/>
  </r>
  <r>
    <x v="3"/>
    <s v="SK Hynix"/>
    <x v="4"/>
    <n v="92"/>
    <n v="29"/>
  </r>
  <r>
    <x v="4"/>
    <s v="AMER International"/>
    <x v="3"/>
    <n v="91"/>
    <n v="30"/>
  </r>
  <r>
    <x v="3"/>
    <s v="Micron"/>
    <x v="0"/>
    <n v="90"/>
    <n v="31"/>
  </r>
  <r>
    <x v="6"/>
    <s v="RTX"/>
    <x v="0"/>
    <n v="88.6"/>
    <n v="32"/>
  </r>
  <r>
    <x v="5"/>
    <s v="E.ON"/>
    <x v="1"/>
    <n v="88"/>
    <n v="33"/>
  </r>
  <r>
    <x v="5"/>
    <s v="ENGIE"/>
    <x v="9"/>
    <n v="85"/>
    <n v="34"/>
  </r>
  <r>
    <x v="6"/>
    <s v="Boeing"/>
    <x v="0"/>
    <n v="80"/>
    <n v="35"/>
  </r>
  <r>
    <x v="6"/>
    <s v="Airbus"/>
    <x v="9"/>
    <n v="77"/>
    <n v="36"/>
  </r>
  <r>
    <x v="2"/>
    <s v="Vinci"/>
    <x v="9"/>
    <n v="76"/>
    <n v="38"/>
  </r>
  <r>
    <x v="5"/>
    <s v="Uniper"/>
    <x v="1"/>
    <n v="76"/>
    <n v="38"/>
  </r>
  <r>
    <x v="0"/>
    <s v="HCA Healthcare"/>
    <x v="0"/>
    <n v="76"/>
    <n v="38"/>
  </r>
  <r>
    <x v="6"/>
    <s v="Lockheed Martin"/>
    <x v="0"/>
    <n v="75"/>
    <n v="41"/>
  </r>
  <r>
    <x v="3"/>
    <s v="Broadcom"/>
    <x v="0"/>
    <n v="75"/>
    <n v="41"/>
  </r>
  <r>
    <x v="5"/>
    <s v="Enel"/>
    <x v="10"/>
    <n v="75"/>
    <n v="41"/>
  </r>
  <r>
    <x v="4"/>
    <s v="Jiangxi Copper"/>
    <x v="3"/>
    <n v="73"/>
    <n v="43"/>
  </r>
  <r>
    <x v="7"/>
    <s v="BASF"/>
    <x v="1"/>
    <n v="71"/>
    <n v="44"/>
  </r>
  <r>
    <x v="5"/>
    <s v="Korea Electric Power"/>
    <x v="4"/>
    <n v="68"/>
    <n v="45"/>
  </r>
  <r>
    <x v="8"/>
    <s v="Iberdrola"/>
    <x v="11"/>
    <n v="64"/>
    <n v="47"/>
  </r>
  <r>
    <x v="8"/>
    <s v="CATL"/>
    <x v="3"/>
    <n v="64"/>
    <n v="47"/>
  </r>
  <r>
    <x v="5"/>
    <s v="CATL"/>
    <x v="3"/>
    <n v="64"/>
    <n v="47"/>
  </r>
  <r>
    <x v="2"/>
    <s v="Bouygues"/>
    <x v="9"/>
    <n v="61"/>
    <n v="49"/>
  </r>
  <r>
    <x v="4"/>
    <s v="HBIS Group"/>
    <x v="3"/>
    <n v="57"/>
    <n v="50"/>
  </r>
  <r>
    <x v="2"/>
    <s v="ACS Group"/>
    <x v="11"/>
    <n v="56"/>
    <n v="51"/>
  </r>
  <r>
    <x v="3"/>
    <s v="Intel"/>
    <x v="0"/>
    <n v="54"/>
    <n v="52.5"/>
  </r>
  <r>
    <x v="4"/>
    <s v="Rio Tinto"/>
    <x v="12"/>
    <n v="54"/>
    <n v="52.5"/>
  </r>
  <r>
    <x v="7"/>
    <s v="Bayer"/>
    <x v="1"/>
    <n v="53"/>
    <n v="54"/>
  </r>
  <r>
    <x v="5"/>
    <s v="Iberdrola"/>
    <x v="11"/>
    <n v="51"/>
    <n v="55"/>
  </r>
  <r>
    <x v="4"/>
    <s v="Jinchuan Group"/>
    <x v="3"/>
    <n v="50"/>
    <n v="56"/>
  </r>
  <r>
    <x v="2"/>
    <s v="ENKA"/>
    <x v="13"/>
    <n v="48"/>
    <n v="57"/>
  </r>
  <r>
    <x v="5"/>
    <s v="TEPCO"/>
    <x v="2"/>
    <n v="47"/>
    <n v="58.5"/>
  </r>
  <r>
    <x v="5"/>
    <s v="Siemens Energy"/>
    <x v="1"/>
    <n v="47"/>
    <n v="58.5"/>
  </r>
  <r>
    <x v="3"/>
    <s v="Qualcomm"/>
    <x v="0"/>
    <n v="44"/>
    <n v="60.5"/>
  </r>
  <r>
    <x v="4"/>
    <s v="Eurasian Resources Group"/>
    <x v="14"/>
    <n v="44"/>
    <n v="60.5"/>
  </r>
  <r>
    <x v="6"/>
    <s v="Northrop Grumman"/>
    <x v="0"/>
    <n v="42"/>
    <n v="62.5"/>
  </r>
  <r>
    <x v="6"/>
    <s v="General Dynamics"/>
    <x v="0"/>
    <n v="42"/>
    <n v="62.5"/>
  </r>
  <r>
    <x v="3"/>
    <s v="ASML"/>
    <x v="6"/>
    <n v="41"/>
    <n v="64"/>
  </r>
  <r>
    <x v="7"/>
    <s v="Dow"/>
    <x v="0"/>
    <n v="39"/>
    <n v="65"/>
  </r>
  <r>
    <x v="4"/>
    <s v="Vale"/>
    <x v="15"/>
    <n v="38"/>
    <n v="66.5"/>
  </r>
  <r>
    <x v="4"/>
    <s v="Nutrien"/>
    <x v="16"/>
    <n v="38"/>
    <n v="66.5"/>
  </r>
  <r>
    <x v="6"/>
    <s v="BAE Systems"/>
    <x v="17"/>
    <n v="37"/>
    <n v="69"/>
  </r>
  <r>
    <x v="3"/>
    <s v="AMD"/>
    <x v="0"/>
    <n v="37"/>
    <n v="69"/>
  </r>
  <r>
    <x v="4"/>
    <s v="Shougang Group"/>
    <x v="3"/>
    <n v="37"/>
    <n v="69"/>
  </r>
  <r>
    <x v="8"/>
    <s v="GE Vernova"/>
    <x v="0"/>
    <n v="36"/>
    <n v="72"/>
  </r>
  <r>
    <x v="2"/>
    <s v="Hochtief"/>
    <x v="1"/>
    <n v="36"/>
    <n v="72"/>
  </r>
  <r>
    <x v="2"/>
    <s v="Lennar"/>
    <x v="0"/>
    <n v="36"/>
    <n v="72"/>
  </r>
  <r>
    <x v="7"/>
    <s v="Linde"/>
    <x v="17"/>
    <n v="35"/>
    <n v="74"/>
  </r>
  <r>
    <x v="6"/>
    <s v="Safran"/>
    <x v="9"/>
    <n v="32"/>
    <n v="76"/>
  </r>
  <r>
    <x v="7"/>
    <s v="LG Chem"/>
    <x v="4"/>
    <n v="32"/>
    <n v="76"/>
  </r>
  <r>
    <x v="7"/>
    <s v="Air Liquide"/>
    <x v="9"/>
    <n v="32"/>
    <n v="76"/>
  </r>
  <r>
    <x v="7"/>
    <s v="Mitsubishi Chemical"/>
    <x v="2"/>
    <n v="30"/>
    <n v="78.5"/>
  </r>
  <r>
    <x v="7"/>
    <s v="LyondellBasell"/>
    <x v="0"/>
    <n v="30"/>
    <n v="78.5"/>
  </r>
  <r>
    <x v="9"/>
    <s v="Nutrien"/>
    <x v="16"/>
    <n v="29.1"/>
    <n v="80"/>
  </r>
  <r>
    <x v="7"/>
    <s v="SABIC"/>
    <x v="18"/>
    <n v="29"/>
    <n v="81"/>
  </r>
  <r>
    <x v="9"/>
    <s v="Wesfarmers (fertilizer division)"/>
    <x v="12"/>
    <n v="28.7"/>
    <n v="82"/>
  </r>
  <r>
    <x v="7"/>
    <s v="Wanhua Chemical"/>
    <x v="3"/>
    <n v="25"/>
    <n v="83.5"/>
  </r>
  <r>
    <x v="8"/>
    <s v="NextEra Energy"/>
    <x v="0"/>
    <n v="25"/>
    <n v="83.5"/>
  </r>
  <r>
    <x v="8"/>
    <s v="Vestas"/>
    <x v="19"/>
    <n v="23"/>
    <n v="85"/>
  </r>
  <r>
    <x v="6"/>
    <s v="L3Harris"/>
    <x v="0"/>
    <n v="21"/>
    <n v="86"/>
  </r>
  <r>
    <x v="6"/>
    <s v="SpaceX"/>
    <x v="0"/>
    <n v="15"/>
    <n v="87"/>
  </r>
  <r>
    <x v="9"/>
    <s v="Yara"/>
    <x v="8"/>
    <n v="13.9"/>
    <n v="88"/>
  </r>
  <r>
    <x v="9"/>
    <s v="Mosaic"/>
    <x v="0"/>
    <n v="12.8"/>
    <n v="89"/>
  </r>
  <r>
    <x v="8"/>
    <s v="Sungrow"/>
    <x v="3"/>
    <n v="11"/>
    <n v="90"/>
  </r>
  <r>
    <x v="8"/>
    <s v="Longi Green Energy"/>
    <x v="3"/>
    <n v="10"/>
    <n v="91"/>
  </r>
  <r>
    <x v="9"/>
    <s v="OCP Group"/>
    <x v="20"/>
    <n v="9.8000000000000007"/>
    <n v="92"/>
  </r>
  <r>
    <x v="8"/>
    <s v="Goldwind"/>
    <x v="3"/>
    <n v="8"/>
    <n v="93"/>
  </r>
  <r>
    <x v="9"/>
    <s v="EuroChem"/>
    <x v="5"/>
    <n v="7.5"/>
    <n v="94"/>
  </r>
  <r>
    <x v="9"/>
    <s v="ICL Group"/>
    <x v="21"/>
    <n v="7.4"/>
    <n v="95.5"/>
  </r>
  <r>
    <x v="9"/>
    <s v="CF Industries"/>
    <x v="0"/>
    <n v="7.4"/>
    <n v="95.5"/>
  </r>
  <r>
    <x v="8"/>
    <s v="Brookfield Renewable"/>
    <x v="16"/>
    <n v="5"/>
    <n v="97"/>
  </r>
  <r>
    <x v="9"/>
    <s v="SAFCO"/>
    <x v="18"/>
    <n v="3.3"/>
    <n v="98"/>
  </r>
  <r>
    <x v="9"/>
    <s v="Coromandel"/>
    <x v="22"/>
    <n v="3"/>
    <n v="99.5"/>
  </r>
  <r>
    <x v="8"/>
    <s v="Adani Green"/>
    <x v="22"/>
    <n v="3"/>
    <n v="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7B94D3-D032-4150-90FE-D4258AD567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L26" firstHeaderRow="1" firstDataRow="2" firstDataCol="1"/>
  <pivotFields count="5">
    <pivotField axis="axisCol" showAll="0">
      <items count="11">
        <item x="0"/>
        <item x="1"/>
        <item x="3"/>
        <item x="5"/>
        <item x="2"/>
        <item x="4"/>
        <item x="6"/>
        <item x="7"/>
        <item x="8"/>
        <item x="9"/>
        <item t="default"/>
      </items>
    </pivotField>
    <pivotField showAll="0"/>
    <pivotField axis="axisRow" dataField="1" showAll="0" sortType="descending">
      <items count="24">
        <item x="20"/>
        <item x="12"/>
        <item x="15"/>
        <item x="16"/>
        <item x="5"/>
        <item x="3"/>
        <item x="1"/>
        <item x="19"/>
        <item x="11"/>
        <item x="9"/>
        <item x="17"/>
        <item x="22"/>
        <item x="21"/>
        <item x="10"/>
        <item x="2"/>
        <item x="4"/>
        <item x="14"/>
        <item x="6"/>
        <item x="8"/>
        <item x="18"/>
        <item x="13"/>
        <item x="7"/>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2"/>
  </rowFields>
  <rowItems count="24">
    <i>
      <x v="22"/>
    </i>
    <i>
      <x v="5"/>
    </i>
    <i>
      <x v="6"/>
    </i>
    <i>
      <x v="9"/>
    </i>
    <i>
      <x v="15"/>
    </i>
    <i>
      <x v="14"/>
    </i>
    <i>
      <x v="3"/>
    </i>
    <i>
      <x v="8"/>
    </i>
    <i>
      <x v="17"/>
    </i>
    <i>
      <x v="19"/>
    </i>
    <i>
      <x v="18"/>
    </i>
    <i>
      <x v="1"/>
    </i>
    <i>
      <x v="10"/>
    </i>
    <i>
      <x v="4"/>
    </i>
    <i>
      <x v="11"/>
    </i>
    <i>
      <x v="7"/>
    </i>
    <i>
      <x v="20"/>
    </i>
    <i>
      <x v="13"/>
    </i>
    <i>
      <x v="16"/>
    </i>
    <i>
      <x v="21"/>
    </i>
    <i>
      <x/>
    </i>
    <i>
      <x v="2"/>
    </i>
    <i>
      <x v="12"/>
    </i>
    <i t="grand">
      <x/>
    </i>
  </rowItems>
  <colFields count="1">
    <field x="0"/>
  </colFields>
  <colItems count="11">
    <i>
      <x/>
    </i>
    <i>
      <x v="1"/>
    </i>
    <i>
      <x v="2"/>
    </i>
    <i>
      <x v="3"/>
    </i>
    <i>
      <x v="4"/>
    </i>
    <i>
      <x v="5"/>
    </i>
    <i>
      <x v="6"/>
    </i>
    <i>
      <x v="7"/>
    </i>
    <i>
      <x v="8"/>
    </i>
    <i>
      <x v="9"/>
    </i>
    <i t="grand">
      <x/>
    </i>
  </colItems>
  <dataFields count="1">
    <dataField name="Count of Country Cod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72D0134-436C-4187-A80C-C33E08C68563}" name="Table9" displayName="Table9" ref="A1:L58" totalsRowShown="0">
  <autoFilter ref="A1:L58" xr:uid="{672D0134-436C-4187-A80C-C33E08C68563}"/>
  <sortState xmlns:xlrd2="http://schemas.microsoft.com/office/spreadsheetml/2017/richdata2" ref="A2:L56">
    <sortCondition ref="A1:A56"/>
  </sortState>
  <tableColumns count="12">
    <tableColumn id="1" xr3:uid="{6013F486-C22E-4F7B-91B7-18930A9DF0DF}" name="Mineral"/>
    <tableColumn id="9" xr3:uid="{7E20DAB1-881D-4160-9137-9BBC0FC88780}" name="Recognition_Score" dataDxfId="36">
      <calculatedColumnFormula>SUM(Table9[[#This Row],[USGS]]:Table9[[#This Row],[IND]])</calculatedColumnFormula>
    </tableColumn>
    <tableColumn id="2" xr3:uid="{695F676F-5E4D-49F9-80BA-CE778BAFF98A}" name="USGS"/>
    <tableColumn id="3" xr3:uid="{73B245B9-180A-4254-BF26-D0A46134D10E}" name="EU"/>
    <tableColumn id="4" xr3:uid="{D5061C46-7282-4F8D-94BD-44E711DBA9BE}" name="AUS"/>
    <tableColumn id="5" xr3:uid="{288413FF-FBEE-4658-A513-F25B829858C9}" name="UK_Critical"/>
    <tableColumn id="6" xr3:uid="{A83925A5-F2BB-414C-B5DE-604E5C2149D2}" name="UK_Growth"/>
    <tableColumn id="7" xr3:uid="{8C1DB29A-0404-49DA-A9F9-F7513F46C1C7}" name="MYS"/>
    <tableColumn id="8" xr3:uid="{5D6959B3-A0E0-4428-8C5A-375033F84EE0}" name="ZWE"/>
    <tableColumn id="10" xr3:uid="{FAD254E8-A606-4271-8B30-52A21275F862}" name="CHN_strategic"/>
    <tableColumn id="11" xr3:uid="{8BF64E72-61FC-4BF9-BFCA-7D4651CABDA4}" name="ZAF"/>
    <tableColumn id="12" xr3:uid="{B6C2511E-ECF9-4442-91B7-8093E874C9BC}" name="IN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975D959-D9C3-44F5-A074-FC57829A441E}" name="Table112" displayName="Table112" ref="A1:AW54" totalsRowShown="0">
  <autoFilter ref="A1:AW54" xr:uid="{6975D959-D9C3-44F5-A074-FC57829A441E}"/>
  <sortState xmlns:xlrd2="http://schemas.microsoft.com/office/spreadsheetml/2017/richdata2" ref="A2:AW54">
    <sortCondition descending="1" ref="AW3:AW56"/>
  </sortState>
  <tableColumns count="49">
    <tableColumn id="50" xr3:uid="{549EA0E9-60B6-4E07-AE6C-CBF5FA69098E}" name="Country Code" dataDxfId="35"/>
    <tableColumn id="49" xr3:uid="{28BF7AA0-C80F-45FB-BEED-2253CB48C0AB}" name="Continent" dataDxfId="34">
      <calculatedColumnFormula>VLOOKUP(Table112[[#This Row],[Country Code]],Table10[[ISO3]:[Continent]],2,FALSE)</calculatedColumnFormula>
    </tableColumn>
    <tableColumn id="2" xr3:uid="{0F73837A-0319-450C-9BBD-1A24E1608CAD}" name="ALU"/>
    <tableColumn id="3" xr3:uid="{74E2C9B9-ECAE-483E-A575-107D2EF5339D}" name="ANT"/>
    <tableColumn id="4" xr3:uid="{D2658E5C-2C1A-441C-8061-62BDB2D9416D}" name="ARS"/>
    <tableColumn id="5" xr3:uid="{BCF4027D-24E4-4603-8CF2-5A3A5B638E20}" name="BAR"/>
    <tableColumn id="6" xr3:uid="{26DEEAAA-4ABB-4F87-AC32-CF001CA0A0CF}" name="BER"/>
    <tableColumn id="7" xr3:uid="{9E2D805E-CC1A-444D-BEFB-E8B3C12805AF}" name="BIS"/>
    <tableColumn id="8" xr3:uid="{CBDD9904-8266-4AD8-A228-2BCAB0516C56}" name="BOR"/>
    <tableColumn id="9" xr3:uid="{D7358324-529D-426D-A2A3-6D849FB0B035}" name="CES"/>
    <tableColumn id="10" xr3:uid="{4050E695-AD87-4D16-9D52-4E7A3DBA2D2E}" name="CHR"/>
    <tableColumn id="11" xr3:uid="{89D41AA7-03E7-4FE7-ABAE-978C4876C1ED}" name="COB"/>
    <tableColumn id="12" xr3:uid="{7597BA3B-5057-4BE9-BE8E-0618230663DB}" name="COP"/>
    <tableColumn id="13" xr3:uid="{3BD2BDFF-2030-44DF-BB9B-6F4FD68DE862}" name="FLU"/>
    <tableColumn id="14" xr3:uid="{4898D398-E2A1-4ED2-8D37-2E99722562BA}" name="GAL"/>
    <tableColumn id="15" xr3:uid="{4DAED1B3-2CAA-4518-A31E-3F1FC6221DDC}" name="GER"/>
    <tableColumn id="16" xr3:uid="{94C1C043-191D-446D-8A56-C7555A36C058}" name="GRA"/>
    <tableColumn id="17" xr3:uid="{7BCB6746-9518-42C2-A11E-EF48FD72834A}" name="HAF"/>
    <tableColumn id="18" xr3:uid="{7FE98AAE-C8F8-4C12-A7E5-12D37EC006D0}" name="IND"/>
    <tableColumn id="19" xr3:uid="{DCB19D1C-D74A-4E7E-9D9B-D1A3F9156E8B}" name="IRI"/>
    <tableColumn id="20" xr3:uid="{29B71B40-0ABE-454B-8319-4E705C31E048}" name="LED"/>
    <tableColumn id="21" xr3:uid="{DC04C0DE-BB7F-40D5-A604-95DE81F0D647}" name="LIT"/>
    <tableColumn id="22" xr3:uid="{9031058E-EFF4-49EC-9BA5-F0C0DB2C679F}" name="MAG"/>
    <tableColumn id="23" xr3:uid="{488FE0C8-4561-4505-A113-002DD416EF69}" name="MAN"/>
    <tableColumn id="24" xr3:uid="{8DDA95BD-77BC-40CB-8C7E-2E9E6B7C4606}" name="MCO"/>
    <tableColumn id="25" xr3:uid="{F797D99F-09D9-4BE0-83D0-50388C9C4221}" name="NIC"/>
    <tableColumn id="26" xr3:uid="{90CDFA23-672E-48A0-9756-4D2CA75DB333}" name="NIO"/>
    <tableColumn id="27" xr3:uid="{7E758F3A-597B-4F82-893D-A9DD73E3049E}" name="PAL"/>
    <tableColumn id="28" xr3:uid="{DF4E254E-8870-4E18-B701-A9335A2B3405}" name="PHO"/>
    <tableColumn id="29" xr3:uid="{14641BA4-D79E-4A1F-80CD-F6482C03EEDE}" name="PLA"/>
    <tableColumn id="30" xr3:uid="{BFF8B0FC-C43E-4B99-838E-5E9D1A850953}" name="POT"/>
    <tableColumn id="31" xr3:uid="{779BD13A-AD85-4FA6-814F-408915F30B10}" name="RHE"/>
    <tableColumn id="32" xr3:uid="{6C51F719-4B6E-404E-9D6D-DFECD0FB883B}" name="RHO"/>
    <tableColumn id="33" xr3:uid="{DBAE54A6-B8F5-4B37-9F51-30C3922F0492}" name="RUB"/>
    <tableColumn id="34" xr3:uid="{3034BB30-3E99-4FB1-8CAC-B8A1700F8847}" name="RUT"/>
    <tableColumn id="35" xr3:uid="{D85220D9-BAD7-460F-B1FD-55A66469549F}" name="SCA"/>
    <tableColumn id="36" xr3:uid="{1D8460E0-515C-4073-8C83-413A2E9E3D59}" name="SIL"/>
    <tableColumn id="37" xr3:uid="{4E835E36-62B5-48DF-9F42-083C6085A14B}" name="SLV"/>
    <tableColumn id="38" xr3:uid="{FF2BDE2D-71E9-45C6-A013-F8208B948FA1}" name="TAN"/>
    <tableColumn id="39" xr3:uid="{0440BEA9-E066-4F44-A11D-04B04E05AABD}" name="TEL"/>
    <tableColumn id="40" xr3:uid="{769306A9-D64B-47AB-B94F-970236095011}" name="TIN"/>
    <tableColumn id="41" xr3:uid="{F4A650E1-675F-4AA9-AB60-BA8E551E7D0D}" name="TIT"/>
    <tableColumn id="42" xr3:uid="{80D2D2C3-0F6A-4EB6-9FAB-CE140D883DD6}" name="TUN"/>
    <tableColumn id="43" xr3:uid="{E2F4FC6A-4F5D-4459-A519-6CB52F0D0662}" name="URA"/>
    <tableColumn id="44" xr3:uid="{09DE9183-ED16-4D33-ADD9-E0D870E8553F}" name="VAN"/>
    <tableColumn id="45" xr3:uid="{3A7DE11A-32E4-4EAF-BB36-DC8731C312CC}" name="ZIN"/>
    <tableColumn id="46" xr3:uid="{0C7C9DF2-BEAF-4CD7-A450-206708EEADC7}" name="ZIR"/>
    <tableColumn id="47" xr3:uid="{A842E465-947C-4004-9D75-7DEF4B4CE4FD}" name="REE"/>
    <tableColumn id="48" xr3:uid="{56CEC384-C4CD-4D09-B76D-A12F5A2D48D4}" name="Total Minerals" dataDxfId="33">
      <calculatedColumnFormula>SUM(Table112[[#This Row],[ALU]]:Table112[[#This Row],[REE]])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0C1D2B-B663-4929-B055-6FF63C5C14CA}" name="Table2" displayName="Table2" ref="A1:D47" totalsRowShown="0">
  <autoFilter ref="A1:D47" xr:uid="{C40C1D2B-B663-4929-B055-6FF63C5C14CA}"/>
  <sortState xmlns:xlrd2="http://schemas.microsoft.com/office/spreadsheetml/2017/richdata2" ref="A2:D47">
    <sortCondition descending="1" ref="D1:D47"/>
  </sortState>
  <tableColumns count="4">
    <tableColumn id="7" xr3:uid="{F1D165A4-F805-4BE4-BCEA-B82F5B553DB9}" name="Mineral Code" dataDxfId="32"/>
    <tableColumn id="2" xr3:uid="{195EA73C-741F-404D-B106-6E8E80D8B048}" name="Producer Country Count">
      <calculatedColumnFormula>VLOOKUP(Table2[[#This Row],[Mineral Code]],'03_global_tot'!A$2:B$47,2,FALSE)</calculatedColumnFormula>
    </tableColumn>
    <tableColumn id="3" xr3:uid="{45DC6E2C-A218-444E-B7C9-8EBC02B1A79A}" name="Total Manufacturing Demand">
      <calculatedColumnFormula array="1">COUNTIF(min_sector_list,Table2[[#This Row],[Mineral Code]])</calculatedColumnFormula>
    </tableColumn>
    <tableColumn id="4" xr3:uid="{C4250E33-C6BF-45F5-81BE-1E3DF3E37E40}" name="Criticality" dataDxfId="31">
      <calculatedColumnFormula>Table2[[#This Row],[Total Manufacturing Demand]]/Table2[[#This Row],[Producer Country Count]]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D3241-9795-4BC5-9088-E06FBB88A140}" name="Table15" displayName="Table15" ref="A1:AV54" totalsRowShown="0">
  <autoFilter ref="A1:AV54" xr:uid="{0EDD3241-9795-4BC5-9088-E06FBB88A140}"/>
  <sortState xmlns:xlrd2="http://schemas.microsoft.com/office/spreadsheetml/2017/richdata2" ref="A2:AV54">
    <sortCondition descending="1" ref="AV1:AV54"/>
  </sortState>
  <tableColumns count="48">
    <tableColumn id="50" xr3:uid="{A52085D4-B32F-4F9C-8AB3-294238E4AAB1}" name="Country Code" dataDxfId="30"/>
    <tableColumn id="2" xr3:uid="{F9D31CCB-ACBE-4D4C-B153-1833DC1DCA5B}" name="ALU" dataDxfId="29">
      <calculatedColumnFormula>VLOOKUP(Table15[[#Headers],[ALU]],Table2[#All],4,FALSE)*Table112[[#This Row],[ALU]]</calculatedColumnFormula>
    </tableColumn>
    <tableColumn id="3" xr3:uid="{9F526A91-7087-4298-89CC-E7D3E1FA5200}" name="ANT" dataDxfId="28">
      <calculatedColumnFormula>VLOOKUP(Table15[[#Headers],[ANT]],Table2[#All],4,FALSE)*Table112[[#This Row],[ANT]]</calculatedColumnFormula>
    </tableColumn>
    <tableColumn id="4" xr3:uid="{DBC273F1-56ED-4BE7-A530-CB86E5EA1F02}" name="ARS">
      <calculatedColumnFormula>VLOOKUP(Table15[[#Headers],[ARS]],Table2[#All],4,FALSE)</calculatedColumnFormula>
    </tableColumn>
    <tableColumn id="5" xr3:uid="{04C1B485-880E-41D8-843F-D4AC3A1FA417}" name="BAR">
      <calculatedColumnFormula>VLOOKUP(Table15[[#Headers],[BAR]],Table2[#All],4,FALSE)*Table112[[#This Row],[BAR]]</calculatedColumnFormula>
    </tableColumn>
    <tableColumn id="6" xr3:uid="{9FFC6DF5-1179-4DB3-8B0E-CCBE2085C908}" name="BER">
      <calculatedColumnFormula>VLOOKUP(Table15[[#Headers],[BER]],Table2[#All],4,FALSE)*Table112[[#This Row],[BER]]</calculatedColumnFormula>
    </tableColumn>
    <tableColumn id="7" xr3:uid="{72B1491F-3D35-43C3-BEE1-CFEE0D9A2711}" name="BIS">
      <calculatedColumnFormula>VLOOKUP(Table15[[#Headers],[BIS]],Table2[#All],4,FALSE)*Table112[[#This Row],[BIS]]</calculatedColumnFormula>
    </tableColumn>
    <tableColumn id="8" xr3:uid="{D6F9CCCA-EC12-4CCF-A411-76A762F409A5}" name="BOR">
      <calculatedColumnFormula>VLOOKUP(Table15[[#Headers],[BOR]],Table2[#All],4,FALSE)*Table112[[#This Row],[BOR]]</calculatedColumnFormula>
    </tableColumn>
    <tableColumn id="9" xr3:uid="{10EE9FCF-521A-45A7-9FF7-AF0483966C4D}" name="CES">
      <calculatedColumnFormula>VLOOKUP(Table15[[#Headers],[CES]],Table2[#All],4,FALSE)*Table112[[#This Row],[CES]]</calculatedColumnFormula>
    </tableColumn>
    <tableColumn id="10" xr3:uid="{A1EE2DD3-49D9-4482-8D80-83B19F46D806}" name="CHR">
      <calculatedColumnFormula>VLOOKUP(Table15[[#Headers],[CHR]],Table2[#All],4,FALSE)*Table112[[#This Row],[CHR]]</calculatedColumnFormula>
    </tableColumn>
    <tableColumn id="11" xr3:uid="{8C332352-4BCB-47B2-8926-8EB1FC01CDCD}" name="COB">
      <calculatedColumnFormula>VLOOKUP(Table15[[#Headers],[COB]],Table2[#All],4,FALSE)*Table112[[#This Row],[COB]]</calculatedColumnFormula>
    </tableColumn>
    <tableColumn id="12" xr3:uid="{E97F26A8-6B90-4469-9C79-00B437AD0BCA}" name="COP">
      <calculatedColumnFormula>VLOOKUP(Table15[[#Headers],[COP]],Table2[#All],4,FALSE)*Table112[[#This Row],[COP]]</calculatedColumnFormula>
    </tableColumn>
    <tableColumn id="13" xr3:uid="{2CF63784-C5C0-4B6D-84A3-CE8ED7944216}" name="FLU">
      <calculatedColumnFormula>VLOOKUP(Table15[[#Headers],[FLU]],Table2[#All],4,FALSE)*Table112[[#This Row],[FLU]]</calculatedColumnFormula>
    </tableColumn>
    <tableColumn id="14" xr3:uid="{BFD139A1-AA95-4EF8-A52F-7DBC6CD753B3}" name="GAL">
      <calculatedColumnFormula>VLOOKUP(Table15[[#Headers],[GAL]],Table2[#All],4,FALSE)*Table112[[#This Row],[GAL]]</calculatedColumnFormula>
    </tableColumn>
    <tableColumn id="15" xr3:uid="{76AC3C33-1AE1-447A-AE46-8CDD2890E2AC}" name="GER">
      <calculatedColumnFormula>VLOOKUP(Table15[[#Headers],[GER]],Table2[#All],4,FALSE)*Table112[[#This Row],[GER]]</calculatedColumnFormula>
    </tableColumn>
    <tableColumn id="16" xr3:uid="{8A9EF3D8-006C-4AE7-A531-948DF7015CC2}" name="GRA">
      <calculatedColumnFormula>VLOOKUP(Table15[[#Headers],[GRA]],Table2[#All],4,FALSE)*Table112[[#This Row],[GRA]]</calculatedColumnFormula>
    </tableColumn>
    <tableColumn id="17" xr3:uid="{C6A1CB0E-FCE3-45A5-B1AD-274A024FAB0E}" name="HAF">
      <calculatedColumnFormula>VLOOKUP(Table15[[#Headers],[HAF]],Table2[#All],4,FALSE)*Table112[[#This Row],[HAF]]</calculatedColumnFormula>
    </tableColumn>
    <tableColumn id="18" xr3:uid="{1FFFAC18-AB02-4030-BD42-D9095DA86D11}" name="IND">
      <calculatedColumnFormula>VLOOKUP(Table15[[#Headers],[IND]],Table2[#All],4,FALSE)*Table112[[#This Row],[IND]]</calculatedColumnFormula>
    </tableColumn>
    <tableColumn id="19" xr3:uid="{AC9D27F2-C6D0-4D6D-84D4-00AA8CA05950}" name="IRI">
      <calculatedColumnFormula>VLOOKUP(Table15[[#Headers],[IRI]],Table2[#All],4,FALSE)*Table112[[#This Row],[IRI]]</calculatedColumnFormula>
    </tableColumn>
    <tableColumn id="20" xr3:uid="{32CD727E-EFFC-494C-A15A-DCC0BAFB6C53}" name="LED">
      <calculatedColumnFormula>VLOOKUP(Table15[[#Headers],[LED]],Table2[#All],4,FALSE)*Table112[[#This Row],[LED]]</calculatedColumnFormula>
    </tableColumn>
    <tableColumn id="21" xr3:uid="{EF743A58-271E-4FCC-AE3B-09942F31DA4D}" name="LIT">
      <calculatedColumnFormula>VLOOKUP(Table15[[#Headers],[LIT]],Table2[#All],4,FALSE)*Table112[[#This Row],[LIT]]</calculatedColumnFormula>
    </tableColumn>
    <tableColumn id="22" xr3:uid="{74930DBD-8F8A-41ED-952F-07F2D4BC62A2}" name="MAG">
      <calculatedColumnFormula>VLOOKUP(Table15[[#Headers],[MAG]],Table2[#All],4,FALSE)*Table112[[#This Row],[MAG]]</calculatedColumnFormula>
    </tableColumn>
    <tableColumn id="23" xr3:uid="{3729CF44-E48B-45CE-9A09-5236004E4F2D}" name="MAN">
      <calculatedColumnFormula>VLOOKUP(Table15[[#Headers],[MAN]],Table2[#All],4,FALSE)*Table112[[#This Row],[MAN]]</calculatedColumnFormula>
    </tableColumn>
    <tableColumn id="24" xr3:uid="{D17B3D41-D4EE-40C1-B838-2FD10E0A36D1}" name="MCO">
      <calculatedColumnFormula>VLOOKUP(Table15[[#Headers],[MCO]],Table2[#All],4,FALSE)*Table112[[#This Row],[MCO]]</calculatedColumnFormula>
    </tableColumn>
    <tableColumn id="25" xr3:uid="{7972DE78-F69D-4E68-91D9-21A5603B7068}" name="NIC">
      <calculatedColumnFormula>VLOOKUP(Table15[[#Headers],[NIC]],Table2[#All],4,FALSE)*Table112[[#This Row],[NIC]]</calculatedColumnFormula>
    </tableColumn>
    <tableColumn id="26" xr3:uid="{E9A088A4-962B-46A0-BB0B-FB8CF1F33353}" name="NIO">
      <calculatedColumnFormula>VLOOKUP(Table15[[#Headers],[NIO]],Table2[#All],4,FALSE)*Table112[[#This Row],[NIO]]</calculatedColumnFormula>
    </tableColumn>
    <tableColumn id="27" xr3:uid="{493F301B-B7C7-49DA-A602-9D81ADFC9882}" name="PAL">
      <calculatedColumnFormula>VLOOKUP(Table15[[#Headers],[PAL]],Table2[#All],4,FALSE)*Table112[[#This Row],[PAL]]</calculatedColumnFormula>
    </tableColumn>
    <tableColumn id="28" xr3:uid="{7CEEDCA0-3C4E-4270-81BC-94D620A18A84}" name="PHO">
      <calculatedColumnFormula>VLOOKUP(Table15[[#Headers],[PHO]],Table2[#All],4,FALSE)*Table112[[#This Row],[PHO]]</calculatedColumnFormula>
    </tableColumn>
    <tableColumn id="29" xr3:uid="{0E2DB3FE-096B-4CE8-975C-DAED5EEA46D2}" name="PLA">
      <calculatedColumnFormula>VLOOKUP(Table15[[#Headers],[PLA]],Table2[#All],4,FALSE)*Table112[[#This Row],[PLA]]</calculatedColumnFormula>
    </tableColumn>
    <tableColumn id="30" xr3:uid="{26D96411-D404-456F-88C4-CDDE38F7AC88}" name="POT">
      <calculatedColumnFormula>VLOOKUP(Table15[[#Headers],[POT]],Table2[#All],4,FALSE)*Table112[[#This Row],[POT]]</calculatedColumnFormula>
    </tableColumn>
    <tableColumn id="31" xr3:uid="{BC5B559E-A866-4EB5-917C-7A2CC7BC7BDF}" name="RHE">
      <calculatedColumnFormula>VLOOKUP(Table15[[#Headers],[RHE]],Table2[#All],4,FALSE)*Table112[[#This Row],[RHE]]</calculatedColumnFormula>
    </tableColumn>
    <tableColumn id="32" xr3:uid="{04C75A8F-5E4E-46F6-808B-8A9D7BB7D06F}" name="RHO">
      <calculatedColumnFormula>VLOOKUP(Table15[[#Headers],[RHO]],Table2[#All],4,FALSE)*Table112[[#This Row],[RHO]]</calculatedColumnFormula>
    </tableColumn>
    <tableColumn id="33" xr3:uid="{A7F6A78E-217C-4D60-B181-7F21C5C182DB}" name="RUB">
      <calculatedColumnFormula>VLOOKUP(Table15[[#Headers],[RUB]],Table2[#All],4,FALSE)*Table112[[#This Row],[RUB]]</calculatedColumnFormula>
    </tableColumn>
    <tableColumn id="34" xr3:uid="{B5286081-4070-4205-83AE-CFC08688F4D4}" name="RUT">
      <calculatedColumnFormula>VLOOKUP(Table15[[#Headers],[RUT]],Table2[#All],4,FALSE)*Table112[[#This Row],[RUT]]</calculatedColumnFormula>
    </tableColumn>
    <tableColumn id="35" xr3:uid="{E4DB5870-6906-4EE3-AAD9-F1F89F53D343}" name="SCA">
      <calculatedColumnFormula>VLOOKUP(Table15[[#Headers],[SCA]],Table2[#All],4,FALSE)*Table112[[#This Row],[SCA]]</calculatedColumnFormula>
    </tableColumn>
    <tableColumn id="36" xr3:uid="{5EE5407E-37BA-4238-AE08-D382937C147D}" name="SIL">
      <calculatedColumnFormula>VLOOKUP(Table15[[#Headers],[SIL]],Table2[#All],4,FALSE)*Table112[[#This Row],[SIL]]</calculatedColumnFormula>
    </tableColumn>
    <tableColumn id="37" xr3:uid="{09CE5B67-5682-4F6B-80D2-C55AD3191399}" name="SLV">
      <calculatedColumnFormula>VLOOKUP(Table15[[#Headers],[SLV]],Table2[#All],4,FALSE)*Table112[[#This Row],[SLV]]</calculatedColumnFormula>
    </tableColumn>
    <tableColumn id="38" xr3:uid="{81436936-048E-4E53-8400-7F5BB943572C}" name="TAN">
      <calculatedColumnFormula>VLOOKUP(Table15[[#Headers],[TAN]],Table2[#All],4,FALSE)*Table112[[#This Row],[TAN]]</calculatedColumnFormula>
    </tableColumn>
    <tableColumn id="39" xr3:uid="{B23F184B-8393-4233-A503-21E4BE38047A}" name="TEL">
      <calculatedColumnFormula>VLOOKUP(Table15[[#Headers],[TEL]],Table2[#All],4,FALSE)*Table112[[#This Row],[TEL]]</calculatedColumnFormula>
    </tableColumn>
    <tableColumn id="40" xr3:uid="{BA5F7155-FA76-41D0-B757-A884D2D770FE}" name="TIN">
      <calculatedColumnFormula>VLOOKUP(Table15[[#Headers],[TIN]],Table2[#All],4,FALSE)*Table112[[#This Row],[TIN]]</calculatedColumnFormula>
    </tableColumn>
    <tableColumn id="41" xr3:uid="{34BF8B3B-8A84-4E59-85EC-4513FF592D49}" name="TIT">
      <calculatedColumnFormula>VLOOKUP(Table15[[#Headers],[TIT]],Table2[#All],4,FALSE)*Table112[[#This Row],[TIT]]</calculatedColumnFormula>
    </tableColumn>
    <tableColumn id="42" xr3:uid="{857E3BB0-19FE-4870-8A5E-D96C20615CAA}" name="TUN">
      <calculatedColumnFormula>VLOOKUP(Table15[[#Headers],[TUN]],Table2[#All],4,FALSE)*Table112[[#This Row],[TUN]]</calculatedColumnFormula>
    </tableColumn>
    <tableColumn id="43" xr3:uid="{D8D0F103-1BDC-4B74-83DB-7F4C7005FEC0}" name="URA">
      <calculatedColumnFormula>VLOOKUP(Table15[[#Headers],[URA]],Table2[#All],4,FALSE)*Table112[[#This Row],[URA]]</calculatedColumnFormula>
    </tableColumn>
    <tableColumn id="44" xr3:uid="{FFBB96FB-034F-4BC8-8532-F74C24549854}" name="VAN">
      <calculatedColumnFormula>VLOOKUP(Table15[[#Headers],[VAN]],Table2[#All],4,FALSE)*Table112[[#This Row],[VAN]]</calculatedColumnFormula>
    </tableColumn>
    <tableColumn id="45" xr3:uid="{B2CB54FC-2B67-4FE5-8D64-DD6183CA8A77}" name="ZIN">
      <calculatedColumnFormula>VLOOKUP(Table15[[#Headers],[ZIN]],Table2[#All],4,FALSE)*Table112[[#This Row],[ZIN]]</calculatedColumnFormula>
    </tableColumn>
    <tableColumn id="46" xr3:uid="{D076C205-5975-4C17-8A50-DFDF4E09846B}" name="ZIR">
      <calculatedColumnFormula>VLOOKUP(Table15[[#Headers],[ZIR]],Table2[#All],4,FALSE)*Table112[[#This Row],[ZIR]]</calculatedColumnFormula>
    </tableColumn>
    <tableColumn id="47" xr3:uid="{9DFB813D-3056-4E7A-BD22-302E5608F8C6}" name="REE" dataDxfId="27">
      <calculatedColumnFormula>VLOOKUP(Table15[[#Headers],[REE]],Table2[#All],4,FALSE)*Table112[[#This Row],[REE]]</calculatedColumnFormula>
    </tableColumn>
    <tableColumn id="48" xr3:uid="{50695EEE-FC50-4812-93AE-5E39955C7B91}" name="Strategic Mineral Score" dataDxfId="26">
      <calculatedColumnFormula>SUM(B2:AU2)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03AF37-C571-4032-A96A-AC8C3C441609}" name="Table3" displayName="Table3" ref="A1:C181" totalsRowShown="0">
  <autoFilter ref="A1:C181" xr:uid="{A203AF37-C571-4032-A96A-AC8C3C441609}"/>
  <sortState xmlns:xlrd2="http://schemas.microsoft.com/office/spreadsheetml/2017/richdata2" ref="A2:C181">
    <sortCondition ref="A1:A181"/>
  </sortState>
  <tableColumns count="3">
    <tableColumn id="3" xr3:uid="{096C283C-CA35-4AB5-85E1-8370253FAF79}" name="Mineral Code" dataDxfId="25"/>
    <tableColumn id="2" xr3:uid="{8B9E57A2-D748-4321-A0E1-B197AE215005}" name="product types"/>
    <tableColumn id="4" xr3:uid="{472F812E-F250-4AE5-9EC9-B41A1EAA6803}" name="Sector Code" dataDxfId="2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E7A2FD-EA15-47F5-B2C7-A45E1916DBA1}" name="sector_min_mat" displayName="sector_min_mat" ref="A1:L47" totalsRowShown="0" headerRowDxfId="23" dataDxfId="22">
  <autoFilter ref="A1:L47" xr:uid="{2EE7A2FD-EA15-47F5-B2C7-A45E1916DBA1}"/>
  <sortState xmlns:xlrd2="http://schemas.microsoft.com/office/spreadsheetml/2017/richdata2" ref="A2:L47">
    <sortCondition descending="1" ref="L1:L47"/>
  </sortState>
  <tableColumns count="12">
    <tableColumn id="1" xr3:uid="{8C6132C9-008B-4C35-876B-E8B7AFD719FF}" name="Mineral Code" dataDxfId="21"/>
    <tableColumn id="2" xr3:uid="{BB798071-A292-4F05-8F89-C115FEEEE9ED}" name="ADS " dataDxfId="20"/>
    <tableColumn id="3" xr3:uid="{447A9AB1-776A-4DB4-A930-4496CCF689A5}" name="AGR " dataDxfId="19"/>
    <tableColumn id="4" xr3:uid="{327B2A0A-8148-4545-A313-872350460CF0}" name="AUT " dataDxfId="18"/>
    <tableColumn id="5" xr3:uid="{F3D93A4F-556C-457C-8633-DD23C615334B}" name="CEE " dataDxfId="17"/>
    <tableColumn id="6" xr3:uid="{ECD33711-1E2B-417C-83B0-0A18607116CE}" name="CHM " dataDxfId="16"/>
    <tableColumn id="7" xr3:uid="{1394C9BA-4C58-429E-BA47-7C04AB088184}" name="CON " dataDxfId="15"/>
    <tableColumn id="8" xr3:uid="{5AB7DA52-5A3A-4A20-AEA8-C221883D3423}" name="ELS " dataDxfId="14"/>
    <tableColumn id="9" xr3:uid="{4093EC3D-74D0-420D-8E92-66022FBE02F3}" name="EPG " dataDxfId="13"/>
    <tableColumn id="10" xr3:uid="{7481F601-8918-4F6C-8995-9DE848D80994}" name="HCS " dataDxfId="12"/>
    <tableColumn id="11" xr3:uid="{51AB37D2-15B2-4A58-BB3C-79F811FFAABB}" name="MSM " dataDxfId="11"/>
    <tableColumn id="12" xr3:uid="{82AE8F2D-75A4-498E-9B41-35ACA5D5745E}" name="total manufacturing demand" dataDxfId="10">
      <calculatedColumnFormula>SUM(B2:K2)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9806818-0878-4E02-8F08-382C69524851}" name="Table6" displayName="Table6" ref="A1:E101" totalsRowShown="0">
  <autoFilter ref="A1:E101" xr:uid="{D9806818-0878-4E02-8F08-382C69524851}"/>
  <sortState xmlns:xlrd2="http://schemas.microsoft.com/office/spreadsheetml/2017/richdata2" ref="A2:E101">
    <sortCondition descending="1" ref="D1:D101"/>
  </sortState>
  <tableColumns count="5">
    <tableColumn id="3" xr3:uid="{C7C2A7CF-D35E-49FD-81FD-3879E9791E83}" name="Sector Code" dataDxfId="9"/>
    <tableColumn id="2" xr3:uid="{A1417D3B-08A0-4FE7-A777-1A5EF4E5A161}" name="Company" dataDxfId="8"/>
    <tableColumn id="5" xr3:uid="{F24453B1-4083-41C3-A6B9-7B53A4E1AFED}" name="Country Code" dataDxfId="7"/>
    <tableColumn id="4" xr3:uid="{0B0FA37C-8059-484C-B1B7-0E8201374FFF}" name="Revenue ($bn)" dataDxfId="6"/>
    <tableColumn id="1" xr3:uid="{19DD42E7-AF7D-4A43-AB77-D9D022A856A3}" name="Rank" dataDxfId="5">
      <calculatedColumnFormula>_xlfn.RANK.AVG(Table6[[#This Row],[Revenue ($bn)]],Table6[Revenue ($bn)])</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FB92C3-9B5F-4B67-BDB7-52D97A3DFB9C}" name="Table10" displayName="Table10" ref="A1:C197" totalsRowShown="0">
  <autoFilter ref="A1:C197" xr:uid="{64FB92C3-9B5F-4B67-BDB7-52D97A3DFB9C}"/>
  <tableColumns count="3">
    <tableColumn id="1" xr3:uid="{4E4A1DE5-A119-43D2-A8A6-0C4CB35CDC00}" name="Country"/>
    <tableColumn id="2" xr3:uid="{6221207D-1A3F-4DE4-965A-407D44F1B43F}" name="ISO3"/>
    <tableColumn id="3" xr3:uid="{CD561A21-94D0-4499-84C9-E779562B5E52}" name="Continen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E3696A-982E-42F5-B005-8FA9C0D11524}" name="mineral_codes" displayName="mineral_codes" ref="A1:B66" totalsRowShown="0">
  <autoFilter ref="A1:B66" xr:uid="{4BE3696A-982E-42F5-B005-8FA9C0D11524}"/>
  <sortState xmlns:xlrd2="http://schemas.microsoft.com/office/spreadsheetml/2017/richdata2" ref="A2:B63">
    <sortCondition ref="B1:B120"/>
  </sortState>
  <tableColumns count="2">
    <tableColumn id="1" xr3:uid="{47E775C0-DAB9-4509-87A4-844C04DDA7F6}" name="Mineral"/>
    <tableColumn id="2" xr3:uid="{958141AD-E2A7-478D-B376-28B8808F6FF9}" name="Cod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CE91861-3D3F-4F56-9EC0-D80474DF7C08}" name="Table8" displayName="Table8" ref="A1:D11" totalsRowShown="0">
  <autoFilter ref="A1:D11" xr:uid="{4CE91861-3D3F-4F56-9EC0-D80474DF7C08}"/>
  <tableColumns count="4">
    <tableColumn id="1" xr3:uid="{D2CD6AC1-5C0C-4357-95FB-97FDDE93DD6C}" name="Name" dataDxfId="4"/>
    <tableColumn id="2" xr3:uid="{EF518915-5D09-42C9-84F8-7F26A1C8FB13}" name="Sector Code" dataDxfId="3"/>
    <tableColumn id="3" xr3:uid="{AFEB508A-82B7-4FC4-9F98-B8565CFD6293}" name="Elasticity" dataDxfId="2"/>
    <tableColumn id="4" xr3:uid="{42544D1E-4B32-422D-99B8-D9397B5C0A42}" name="Interpretatio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8" Type="http://schemas.openxmlformats.org/officeDocument/2006/relationships/hyperlink" Target="https://www.gov.uk/government/publications/uk-critical-minerals-strategy/critical-minerals-technical-annex" TargetMode="External"/><Relationship Id="rId3" Type="http://schemas.openxmlformats.org/officeDocument/2006/relationships/hyperlink" Target="https://disfold.com/industry/aerospace-defense/companies/?page=1" TargetMode="External"/><Relationship Id="rId7" Type="http://schemas.openxmlformats.org/officeDocument/2006/relationships/hyperlink" Target="https://www.industry.gov.au/publications/australias-critical-minerals-list-and-strategic-materials-list" TargetMode="External"/><Relationship Id="rId2" Type="http://schemas.openxmlformats.org/officeDocument/2006/relationships/hyperlink" Target="https://www.federalregister.gov/documents/2025/11/07/2025-19813/final-2025-list-of-critical-minerals" TargetMode="External"/><Relationship Id="rId1" Type="http://schemas.openxmlformats.org/officeDocument/2006/relationships/hyperlink" Target="https://en.wikipedia.org/wiki/List_of_ISO_3166_country_codes" TargetMode="External"/><Relationship Id="rId6" Type="http://schemas.openxmlformats.org/officeDocument/2006/relationships/hyperlink" Target="https://static.pmg.org.za/Critical_Minerals_and_Metals_Strategy_South_Africa_2025.pdf" TargetMode="External"/><Relationship Id="rId11" Type="http://schemas.openxmlformats.org/officeDocument/2006/relationships/drawing" Target="../drawings/drawing14.xml"/><Relationship Id="rId5" Type="http://schemas.openxmlformats.org/officeDocument/2006/relationships/hyperlink" Target="https://www.ndrc.gov.cn/fggz/fzzlgh/gjjzxgh/201705/t20170511_1196755.html" TargetMode="External"/><Relationship Id="rId10" Type="http://schemas.openxmlformats.org/officeDocument/2006/relationships/hyperlink" Target="https://mines.gov.in/admin/download/649d4212cceb01688027666.pdf" TargetMode="External"/><Relationship Id="rId4" Type="http://schemas.openxmlformats.org/officeDocument/2006/relationships/hyperlink" Target="https://miningzimbabwe.com/zimbabwe-bans-raw-exports-of-14-metals-after-lithium-revenues-jumped-106/" TargetMode="External"/><Relationship Id="rId9" Type="http://schemas.openxmlformats.org/officeDocument/2006/relationships/hyperlink" Target="https://www.iea.org/policies/?topic=Critical+Minerals&amp;country=Malaysia&amp;type=Strategic+mineral+lists&amp;status=In+force&amp;__cf_chl_tk=lfE.L9ipQKaave9YJgxc5m.mLx3Fl2mEK1TbQAkeQu0-1787662308-1.0.1.1-9KQrc1.JRaMOloDzCv8j87dYvjRkBJwXXZBHXcObWJ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F99C2-F4C7-4BED-B637-7F7B4FA3C87C}">
  <dimension ref="A1:B7"/>
  <sheetViews>
    <sheetView workbookViewId="0">
      <selection activeCell="T6" sqref="T6"/>
    </sheetView>
  </sheetViews>
  <sheetFormatPr defaultRowHeight="14.4"/>
  <cols>
    <col min="1" max="1" width="14.5546875" bestFit="1" customWidth="1"/>
    <col min="2" max="2" width="121.77734375" bestFit="1" customWidth="1"/>
  </cols>
  <sheetData>
    <row r="1" spans="1:2" ht="43.2">
      <c r="A1" t="s">
        <v>850</v>
      </c>
      <c r="B1" s="26" t="s">
        <v>849</v>
      </c>
    </row>
    <row r="3" spans="1:2" ht="360">
      <c r="A3" t="s">
        <v>851</v>
      </c>
      <c r="B3" s="4" t="s">
        <v>856</v>
      </c>
    </row>
    <row r="5" spans="1:2" ht="158.4">
      <c r="A5" t="s">
        <v>852</v>
      </c>
      <c r="B5" s="4" t="s">
        <v>853</v>
      </c>
    </row>
    <row r="7" spans="1:2" ht="129.6">
      <c r="A7" t="s">
        <v>854</v>
      </c>
      <c r="B7" s="4" t="s">
        <v>855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73B13-0414-4C60-BA66-A04563DEB741}">
  <dimension ref="A1:L58"/>
  <sheetViews>
    <sheetView workbookViewId="0">
      <selection activeCell="J39" sqref="J39"/>
    </sheetView>
  </sheetViews>
  <sheetFormatPr defaultRowHeight="14.4"/>
  <cols>
    <col min="1" max="1" width="9.44140625" bestFit="1" customWidth="1"/>
    <col min="2" max="2" width="18.6640625" bestFit="1" customWidth="1"/>
    <col min="3" max="3" width="8" bestFit="1" customWidth="1"/>
    <col min="4" max="4" width="5.44140625" bestFit="1" customWidth="1"/>
    <col min="5" max="5" width="6.6640625" bestFit="1" customWidth="1"/>
    <col min="6" max="6" width="12.5546875" bestFit="1" customWidth="1"/>
    <col min="7" max="7" width="12.33203125" bestFit="1" customWidth="1"/>
    <col min="8" max="8" width="6.77734375" bestFit="1" customWidth="1"/>
    <col min="9" max="9" width="6.88671875" bestFit="1" customWidth="1"/>
    <col min="10" max="10" width="15.33203125" bestFit="1" customWidth="1"/>
  </cols>
  <sheetData>
    <row r="1" spans="1:12">
      <c r="A1" t="s">
        <v>0</v>
      </c>
      <c r="B1" t="s">
        <v>839</v>
      </c>
      <c r="C1" t="s">
        <v>836</v>
      </c>
      <c r="D1" t="s">
        <v>835</v>
      </c>
      <c r="E1" t="s">
        <v>518</v>
      </c>
      <c r="F1" t="s">
        <v>837</v>
      </c>
      <c r="G1" t="s">
        <v>838</v>
      </c>
      <c r="H1" t="s">
        <v>615</v>
      </c>
      <c r="I1" t="s">
        <v>704</v>
      </c>
      <c r="J1" t="s">
        <v>842</v>
      </c>
      <c r="K1" t="s">
        <v>672</v>
      </c>
      <c r="L1" t="s">
        <v>587</v>
      </c>
    </row>
    <row r="2" spans="1:12">
      <c r="A2" t="s">
        <v>712</v>
      </c>
      <c r="B2">
        <f>SUM(Table9[[#This Row],[USGS]]:Table9[[#This Row],[IND]])</f>
        <v>8</v>
      </c>
      <c r="C2">
        <v>1</v>
      </c>
      <c r="D2">
        <v>1</v>
      </c>
      <c r="E2">
        <v>1</v>
      </c>
      <c r="F2">
        <v>1</v>
      </c>
      <c r="G2">
        <v>1</v>
      </c>
      <c r="H2">
        <v>1</v>
      </c>
      <c r="I2">
        <v>0</v>
      </c>
      <c r="J2">
        <v>1</v>
      </c>
      <c r="K2">
        <v>1</v>
      </c>
      <c r="L2">
        <v>0</v>
      </c>
    </row>
    <row r="3" spans="1:12">
      <c r="A3" t="s">
        <v>713</v>
      </c>
      <c r="B3">
        <f>SUM(Table9[[#This Row],[USGS]]:Table9[[#This Row],[IND]])</f>
        <v>8</v>
      </c>
      <c r="C3">
        <v>1</v>
      </c>
      <c r="D3">
        <v>1</v>
      </c>
      <c r="E3">
        <v>1</v>
      </c>
      <c r="F3">
        <v>1</v>
      </c>
      <c r="G3">
        <v>1</v>
      </c>
      <c r="H3">
        <v>0</v>
      </c>
      <c r="I3">
        <v>1</v>
      </c>
      <c r="J3">
        <v>1</v>
      </c>
      <c r="K3">
        <v>0</v>
      </c>
      <c r="L3">
        <v>1</v>
      </c>
    </row>
    <row r="4" spans="1:12">
      <c r="A4" t="s">
        <v>714</v>
      </c>
      <c r="B4">
        <f>SUM(Table9[[#This Row],[USGS]]:Table9[[#This Row],[IND]])</f>
        <v>3</v>
      </c>
      <c r="C4">
        <v>1</v>
      </c>
      <c r="D4">
        <v>1</v>
      </c>
      <c r="E4">
        <v>1</v>
      </c>
      <c r="F4">
        <v>0</v>
      </c>
      <c r="G4">
        <v>0</v>
      </c>
      <c r="H4">
        <v>0</v>
      </c>
      <c r="I4">
        <v>0</v>
      </c>
      <c r="J4">
        <v>0</v>
      </c>
      <c r="K4">
        <v>0</v>
      </c>
      <c r="L4">
        <v>0</v>
      </c>
    </row>
    <row r="5" spans="1:12">
      <c r="A5" t="s">
        <v>715</v>
      </c>
      <c r="B5">
        <f>SUM(Table9[[#This Row],[USGS]]:Table9[[#This Row],[IND]])</f>
        <v>2</v>
      </c>
      <c r="C5">
        <v>1</v>
      </c>
      <c r="D5">
        <v>1</v>
      </c>
      <c r="E5">
        <v>0</v>
      </c>
      <c r="F5">
        <v>0</v>
      </c>
      <c r="G5">
        <v>0</v>
      </c>
      <c r="H5">
        <v>0</v>
      </c>
      <c r="I5">
        <v>0</v>
      </c>
      <c r="J5">
        <v>0</v>
      </c>
      <c r="K5">
        <v>0</v>
      </c>
      <c r="L5">
        <v>0</v>
      </c>
    </row>
    <row r="6" spans="1:12">
      <c r="A6" t="s">
        <v>716</v>
      </c>
      <c r="B6">
        <f>SUM(Table9[[#This Row],[USGS]]:Table9[[#This Row],[IND]])</f>
        <v>5</v>
      </c>
      <c r="C6">
        <v>1</v>
      </c>
      <c r="D6">
        <v>1</v>
      </c>
      <c r="E6">
        <v>1</v>
      </c>
      <c r="F6">
        <v>0</v>
      </c>
      <c r="G6">
        <v>1</v>
      </c>
      <c r="H6">
        <v>0</v>
      </c>
      <c r="I6">
        <v>0</v>
      </c>
      <c r="J6">
        <v>0</v>
      </c>
      <c r="K6">
        <v>0</v>
      </c>
      <c r="L6">
        <v>1</v>
      </c>
    </row>
    <row r="7" spans="1:12">
      <c r="A7" t="s">
        <v>717</v>
      </c>
      <c r="B7">
        <f>SUM(Table9[[#This Row],[USGS]]:Table9[[#This Row],[IND]])</f>
        <v>5</v>
      </c>
      <c r="C7">
        <v>1</v>
      </c>
      <c r="D7">
        <v>1</v>
      </c>
      <c r="E7">
        <v>1</v>
      </c>
      <c r="F7">
        <v>1</v>
      </c>
      <c r="G7">
        <v>0</v>
      </c>
      <c r="H7">
        <v>0</v>
      </c>
      <c r="I7">
        <v>0</v>
      </c>
      <c r="J7">
        <v>0</v>
      </c>
      <c r="K7">
        <v>0</v>
      </c>
      <c r="L7">
        <v>1</v>
      </c>
    </row>
    <row r="8" spans="1:12">
      <c r="A8" t="s">
        <v>718</v>
      </c>
      <c r="B8">
        <f>SUM(Table9[[#This Row],[USGS]]:Table9[[#This Row],[IND]])</f>
        <v>3</v>
      </c>
      <c r="C8">
        <v>1</v>
      </c>
      <c r="D8">
        <v>1</v>
      </c>
      <c r="E8">
        <v>0</v>
      </c>
      <c r="F8">
        <v>1</v>
      </c>
      <c r="G8">
        <v>0</v>
      </c>
      <c r="H8">
        <v>0</v>
      </c>
      <c r="I8">
        <v>0</v>
      </c>
      <c r="J8">
        <v>0</v>
      </c>
      <c r="K8">
        <v>0</v>
      </c>
      <c r="L8">
        <v>0</v>
      </c>
    </row>
    <row r="9" spans="1:12">
      <c r="A9" t="s">
        <v>719</v>
      </c>
      <c r="B9">
        <f>SUM(Table9[[#This Row],[USGS]]:Table9[[#This Row],[IND]])</f>
        <v>2</v>
      </c>
      <c r="C9">
        <v>1</v>
      </c>
      <c r="D9">
        <v>0</v>
      </c>
      <c r="E9">
        <v>0</v>
      </c>
      <c r="F9">
        <v>0</v>
      </c>
      <c r="G9">
        <v>0</v>
      </c>
      <c r="H9">
        <v>0</v>
      </c>
      <c r="I9">
        <v>0</v>
      </c>
      <c r="J9">
        <v>1</v>
      </c>
      <c r="K9">
        <v>0</v>
      </c>
      <c r="L9">
        <v>0</v>
      </c>
    </row>
    <row r="10" spans="1:12">
      <c r="A10" t="s">
        <v>720</v>
      </c>
      <c r="B10">
        <f>SUM(Table9[[#This Row],[USGS]]:Table9[[#This Row],[IND]])</f>
        <v>6</v>
      </c>
      <c r="C10">
        <v>1</v>
      </c>
      <c r="D10">
        <v>0</v>
      </c>
      <c r="E10">
        <v>1</v>
      </c>
      <c r="F10">
        <v>0</v>
      </c>
      <c r="G10">
        <v>1</v>
      </c>
      <c r="H10">
        <v>0</v>
      </c>
      <c r="I10">
        <v>1</v>
      </c>
      <c r="J10">
        <v>1</v>
      </c>
      <c r="K10">
        <v>1</v>
      </c>
      <c r="L10">
        <v>0</v>
      </c>
    </row>
    <row r="11" spans="1:12">
      <c r="A11" t="s">
        <v>721</v>
      </c>
      <c r="B11">
        <f>SUM(Table9[[#This Row],[USGS]]:Table9[[#This Row],[IND]])</f>
        <v>9</v>
      </c>
      <c r="C11">
        <v>1</v>
      </c>
      <c r="D11">
        <v>1</v>
      </c>
      <c r="E11">
        <v>1</v>
      </c>
      <c r="F11">
        <v>1</v>
      </c>
      <c r="G11">
        <v>1</v>
      </c>
      <c r="H11">
        <v>0</v>
      </c>
      <c r="I11">
        <v>1</v>
      </c>
      <c r="J11">
        <v>1</v>
      </c>
      <c r="K11">
        <v>1</v>
      </c>
      <c r="L11">
        <v>1</v>
      </c>
    </row>
    <row r="12" spans="1:12">
      <c r="A12" t="s">
        <v>722</v>
      </c>
      <c r="B12">
        <f>SUM(Table9[[#This Row],[USGS]]:Table9[[#This Row],[IND]])</f>
        <v>7</v>
      </c>
      <c r="C12">
        <v>1</v>
      </c>
      <c r="D12">
        <v>1</v>
      </c>
      <c r="E12">
        <v>0</v>
      </c>
      <c r="F12">
        <v>0</v>
      </c>
      <c r="G12">
        <v>1</v>
      </c>
      <c r="H12">
        <v>0</v>
      </c>
      <c r="I12">
        <v>1</v>
      </c>
      <c r="J12">
        <v>1</v>
      </c>
      <c r="K12">
        <v>1</v>
      </c>
      <c r="L12">
        <v>1</v>
      </c>
    </row>
    <row r="13" spans="1:12">
      <c r="A13" t="s">
        <v>723</v>
      </c>
      <c r="B13">
        <f>SUM(Table9[[#This Row],[USGS]]:Table9[[#This Row],[IND]])</f>
        <v>4</v>
      </c>
      <c r="C13">
        <v>1</v>
      </c>
      <c r="D13">
        <v>1</v>
      </c>
      <c r="E13">
        <v>0</v>
      </c>
      <c r="F13">
        <v>0</v>
      </c>
      <c r="G13">
        <v>0</v>
      </c>
      <c r="H13">
        <v>0</v>
      </c>
      <c r="I13">
        <v>0</v>
      </c>
      <c r="J13">
        <v>1</v>
      </c>
      <c r="K13">
        <v>1</v>
      </c>
      <c r="L13">
        <v>0</v>
      </c>
    </row>
    <row r="14" spans="1:12">
      <c r="A14" t="s">
        <v>724</v>
      </c>
      <c r="B14">
        <f>SUM(Table9[[#This Row],[USGS]]:Table9[[#This Row],[IND]])</f>
        <v>6</v>
      </c>
      <c r="C14">
        <v>1</v>
      </c>
      <c r="D14">
        <v>1</v>
      </c>
      <c r="E14">
        <v>1</v>
      </c>
      <c r="F14">
        <v>1</v>
      </c>
      <c r="G14">
        <v>1</v>
      </c>
      <c r="H14">
        <v>0</v>
      </c>
      <c r="I14">
        <v>0</v>
      </c>
      <c r="J14">
        <v>0</v>
      </c>
      <c r="K14">
        <v>0</v>
      </c>
      <c r="L14">
        <v>1</v>
      </c>
    </row>
    <row r="15" spans="1:12">
      <c r="A15" t="s">
        <v>725</v>
      </c>
      <c r="B15">
        <f>SUM(Table9[[#This Row],[USGS]]:Table9[[#This Row],[IND]])</f>
        <v>6</v>
      </c>
      <c r="C15">
        <v>1</v>
      </c>
      <c r="D15">
        <v>1</v>
      </c>
      <c r="E15">
        <v>1</v>
      </c>
      <c r="F15">
        <v>1</v>
      </c>
      <c r="G15">
        <v>1</v>
      </c>
      <c r="H15">
        <v>0</v>
      </c>
      <c r="I15">
        <v>0</v>
      </c>
      <c r="J15">
        <v>0</v>
      </c>
      <c r="K15">
        <v>0</v>
      </c>
      <c r="L15">
        <v>1</v>
      </c>
    </row>
    <row r="16" spans="1:12">
      <c r="A16" t="s">
        <v>845</v>
      </c>
      <c r="B16">
        <f>SUM(Table9[[#This Row],[USGS]]:Table9[[#This Row],[IND]])</f>
        <v>2</v>
      </c>
      <c r="C16">
        <v>0</v>
      </c>
      <c r="D16">
        <v>0</v>
      </c>
      <c r="E16">
        <v>0</v>
      </c>
      <c r="F16">
        <v>0</v>
      </c>
      <c r="G16">
        <v>0</v>
      </c>
      <c r="H16">
        <v>0</v>
      </c>
      <c r="I16">
        <v>0</v>
      </c>
      <c r="J16">
        <v>1</v>
      </c>
      <c r="K16">
        <v>1</v>
      </c>
      <c r="L16">
        <v>0</v>
      </c>
    </row>
    <row r="17" spans="1:12">
      <c r="A17" t="s">
        <v>726</v>
      </c>
      <c r="B17">
        <f>SUM(Table9[[#This Row],[USGS]]:Table9[[#This Row],[IND]])</f>
        <v>8</v>
      </c>
      <c r="C17">
        <v>1</v>
      </c>
      <c r="D17">
        <v>1</v>
      </c>
      <c r="E17">
        <v>0</v>
      </c>
      <c r="F17">
        <v>1</v>
      </c>
      <c r="G17">
        <v>1</v>
      </c>
      <c r="H17">
        <v>0</v>
      </c>
      <c r="I17">
        <v>1</v>
      </c>
      <c r="J17">
        <v>1</v>
      </c>
      <c r="K17">
        <v>1</v>
      </c>
      <c r="L17">
        <v>1</v>
      </c>
    </row>
    <row r="18" spans="1:12">
      <c r="A18" t="s">
        <v>727</v>
      </c>
      <c r="B18">
        <f>SUM(Table9[[#This Row],[USGS]]:Table9[[#This Row],[IND]])</f>
        <v>6</v>
      </c>
      <c r="C18">
        <v>1</v>
      </c>
      <c r="D18">
        <v>1</v>
      </c>
      <c r="E18">
        <v>1</v>
      </c>
      <c r="F18">
        <v>1</v>
      </c>
      <c r="G18">
        <v>1</v>
      </c>
      <c r="H18">
        <v>0</v>
      </c>
      <c r="I18">
        <v>0</v>
      </c>
      <c r="J18">
        <v>0</v>
      </c>
      <c r="K18">
        <v>0</v>
      </c>
      <c r="L18">
        <v>1</v>
      </c>
    </row>
    <row r="19" spans="1:12">
      <c r="A19" t="s">
        <v>815</v>
      </c>
      <c r="B19">
        <f>SUM(Table9[[#This Row],[USGS]]:Table9[[#This Row],[IND]])</f>
        <v>3</v>
      </c>
      <c r="C19">
        <v>0</v>
      </c>
      <c r="D19">
        <v>1</v>
      </c>
      <c r="E19">
        <v>0</v>
      </c>
      <c r="F19">
        <v>1</v>
      </c>
      <c r="G19">
        <v>1</v>
      </c>
      <c r="H19">
        <v>0</v>
      </c>
      <c r="I19">
        <v>0</v>
      </c>
      <c r="J19">
        <v>0</v>
      </c>
      <c r="K19">
        <v>0</v>
      </c>
      <c r="L19">
        <v>0</v>
      </c>
    </row>
    <row r="20" spans="1:12">
      <c r="A20" t="s">
        <v>587</v>
      </c>
      <c r="B20">
        <f>SUM(Table9[[#This Row],[USGS]]:Table9[[#This Row],[IND]])</f>
        <v>5</v>
      </c>
      <c r="C20">
        <v>1</v>
      </c>
      <c r="D20">
        <v>1</v>
      </c>
      <c r="E20">
        <v>1</v>
      </c>
      <c r="F20">
        <v>1</v>
      </c>
      <c r="G20">
        <v>0</v>
      </c>
      <c r="H20">
        <v>0</v>
      </c>
      <c r="I20">
        <v>0</v>
      </c>
      <c r="J20">
        <v>0</v>
      </c>
      <c r="K20">
        <v>0</v>
      </c>
      <c r="L20">
        <v>1</v>
      </c>
    </row>
    <row r="21" spans="1:12">
      <c r="A21" t="s">
        <v>728</v>
      </c>
      <c r="B21">
        <f>SUM(Table9[[#This Row],[USGS]]:Table9[[#This Row],[IND]])</f>
        <v>2</v>
      </c>
      <c r="C21">
        <v>1</v>
      </c>
      <c r="D21">
        <v>0</v>
      </c>
      <c r="E21">
        <v>0</v>
      </c>
      <c r="F21">
        <v>1</v>
      </c>
      <c r="G21">
        <v>0</v>
      </c>
      <c r="H21">
        <v>0</v>
      </c>
      <c r="I21">
        <v>0</v>
      </c>
      <c r="J21">
        <v>0</v>
      </c>
      <c r="K21">
        <v>0</v>
      </c>
      <c r="L21">
        <v>0</v>
      </c>
    </row>
    <row r="22" spans="1:12">
      <c r="A22" t="s">
        <v>822</v>
      </c>
      <c r="B22">
        <f>SUM(Table9[[#This Row],[USGS]]:Table9[[#This Row],[IND]])</f>
        <v>2</v>
      </c>
      <c r="C22">
        <v>0</v>
      </c>
      <c r="D22">
        <v>0</v>
      </c>
      <c r="E22">
        <v>0</v>
      </c>
      <c r="F22">
        <v>1</v>
      </c>
      <c r="G22">
        <v>0</v>
      </c>
      <c r="H22">
        <v>0</v>
      </c>
      <c r="I22">
        <v>0</v>
      </c>
      <c r="J22">
        <v>0</v>
      </c>
      <c r="K22">
        <v>1</v>
      </c>
      <c r="L22">
        <v>0</v>
      </c>
    </row>
    <row r="23" spans="1:12">
      <c r="A23" t="s">
        <v>816</v>
      </c>
      <c r="B23">
        <f>SUM(Table9[[#This Row],[USGS]]:Table9[[#This Row],[IND]])</f>
        <v>1</v>
      </c>
      <c r="C23">
        <v>0</v>
      </c>
      <c r="D23">
        <v>0</v>
      </c>
      <c r="E23">
        <v>0</v>
      </c>
      <c r="F23">
        <v>0</v>
      </c>
      <c r="G23">
        <v>0</v>
      </c>
      <c r="H23">
        <v>1</v>
      </c>
      <c r="I23">
        <v>0</v>
      </c>
      <c r="J23">
        <v>0</v>
      </c>
      <c r="K23">
        <v>0</v>
      </c>
      <c r="L23">
        <v>0</v>
      </c>
    </row>
    <row r="24" spans="1:12">
      <c r="A24" t="s">
        <v>729</v>
      </c>
      <c r="B24">
        <f>SUM(Table9[[#This Row],[USGS]]:Table9[[#This Row],[IND]])</f>
        <v>1</v>
      </c>
      <c r="C24">
        <v>1</v>
      </c>
      <c r="D24">
        <v>0</v>
      </c>
      <c r="E24">
        <v>0</v>
      </c>
      <c r="F24">
        <v>0</v>
      </c>
      <c r="G24">
        <v>0</v>
      </c>
      <c r="H24">
        <v>0</v>
      </c>
      <c r="I24">
        <v>0</v>
      </c>
      <c r="J24">
        <v>0</v>
      </c>
      <c r="K24">
        <v>0</v>
      </c>
      <c r="L24">
        <v>0</v>
      </c>
    </row>
    <row r="25" spans="1:12">
      <c r="A25" t="s">
        <v>730</v>
      </c>
      <c r="B25">
        <f>SUM(Table9[[#This Row],[USGS]]:Table9[[#This Row],[IND]])</f>
        <v>9</v>
      </c>
      <c r="C25">
        <v>1</v>
      </c>
      <c r="D25">
        <v>1</v>
      </c>
      <c r="E25">
        <v>1</v>
      </c>
      <c r="F25">
        <v>1</v>
      </c>
      <c r="G25">
        <v>1</v>
      </c>
      <c r="H25">
        <v>0</v>
      </c>
      <c r="I25">
        <v>1</v>
      </c>
      <c r="J25">
        <v>1</v>
      </c>
      <c r="K25">
        <v>1</v>
      </c>
      <c r="L25">
        <v>1</v>
      </c>
    </row>
    <row r="26" spans="1:12">
      <c r="A26" t="s">
        <v>731</v>
      </c>
      <c r="B26">
        <f>SUM(Table9[[#This Row],[USGS]]:Table9[[#This Row],[IND]])</f>
        <v>5</v>
      </c>
      <c r="C26">
        <v>1</v>
      </c>
      <c r="D26">
        <v>1</v>
      </c>
      <c r="E26">
        <v>1</v>
      </c>
      <c r="F26">
        <v>1</v>
      </c>
      <c r="G26">
        <v>0</v>
      </c>
      <c r="H26">
        <v>0</v>
      </c>
      <c r="I26">
        <v>0</v>
      </c>
      <c r="J26">
        <v>0</v>
      </c>
      <c r="K26">
        <v>1</v>
      </c>
      <c r="L26">
        <v>0</v>
      </c>
    </row>
    <row r="27" spans="1:12">
      <c r="A27" t="s">
        <v>732</v>
      </c>
      <c r="B27">
        <f>SUM(Table9[[#This Row],[USGS]]:Table9[[#This Row],[IND]])</f>
        <v>7</v>
      </c>
      <c r="C27">
        <v>1</v>
      </c>
      <c r="D27">
        <v>1</v>
      </c>
      <c r="E27">
        <v>1</v>
      </c>
      <c r="F27">
        <v>1</v>
      </c>
      <c r="G27">
        <v>1</v>
      </c>
      <c r="H27">
        <v>0</v>
      </c>
      <c r="I27">
        <v>1</v>
      </c>
      <c r="J27">
        <v>1</v>
      </c>
      <c r="K27">
        <v>0</v>
      </c>
      <c r="L27">
        <v>0</v>
      </c>
    </row>
    <row r="28" spans="1:12">
      <c r="A28" t="s">
        <v>625</v>
      </c>
      <c r="B28">
        <f>SUM(Table9[[#This Row],[USGS]]:Table9[[#This Row],[IND]])</f>
        <v>3</v>
      </c>
      <c r="C28">
        <v>1</v>
      </c>
      <c r="D28">
        <v>1</v>
      </c>
      <c r="E28">
        <v>0</v>
      </c>
      <c r="F28">
        <v>0</v>
      </c>
      <c r="G28">
        <v>0</v>
      </c>
      <c r="H28">
        <v>0</v>
      </c>
      <c r="I28">
        <v>0</v>
      </c>
      <c r="J28">
        <v>0</v>
      </c>
      <c r="K28">
        <v>1</v>
      </c>
      <c r="L28">
        <v>0</v>
      </c>
    </row>
    <row r="29" spans="1:12">
      <c r="A29" t="s">
        <v>825</v>
      </c>
      <c r="B29">
        <f>SUM(Table9[[#This Row],[USGS]]:Table9[[#This Row],[IND]])</f>
        <v>1</v>
      </c>
      <c r="C29">
        <v>0</v>
      </c>
      <c r="D29">
        <v>0</v>
      </c>
      <c r="E29">
        <v>0</v>
      </c>
      <c r="F29">
        <v>1</v>
      </c>
      <c r="G29">
        <v>0</v>
      </c>
      <c r="H29">
        <v>0</v>
      </c>
      <c r="I29">
        <v>0</v>
      </c>
      <c r="J29">
        <v>0</v>
      </c>
      <c r="K29">
        <v>0</v>
      </c>
      <c r="L29">
        <v>0</v>
      </c>
    </row>
    <row r="30" spans="1:12">
      <c r="A30" t="s">
        <v>636</v>
      </c>
      <c r="B30">
        <f>SUM(Table9[[#This Row],[USGS]]:Table9[[#This Row],[IND]])</f>
        <v>9</v>
      </c>
      <c r="C30">
        <v>1</v>
      </c>
      <c r="D30">
        <v>1</v>
      </c>
      <c r="E30">
        <v>1</v>
      </c>
      <c r="F30">
        <v>1</v>
      </c>
      <c r="G30">
        <v>1</v>
      </c>
      <c r="H30">
        <v>0</v>
      </c>
      <c r="I30">
        <v>1</v>
      </c>
      <c r="J30">
        <v>1</v>
      </c>
      <c r="K30">
        <v>1</v>
      </c>
      <c r="L30">
        <v>1</v>
      </c>
    </row>
    <row r="31" spans="1:12">
      <c r="A31" t="s">
        <v>733</v>
      </c>
      <c r="B31">
        <f>SUM(Table9[[#This Row],[USGS]]:Table9[[#This Row],[IND]])</f>
        <v>6</v>
      </c>
      <c r="C31">
        <v>1</v>
      </c>
      <c r="D31">
        <v>1</v>
      </c>
      <c r="E31">
        <v>1</v>
      </c>
      <c r="F31">
        <v>1</v>
      </c>
      <c r="G31">
        <v>0</v>
      </c>
      <c r="H31">
        <v>0</v>
      </c>
      <c r="I31">
        <v>1</v>
      </c>
      <c r="J31">
        <v>0</v>
      </c>
      <c r="K31">
        <v>0</v>
      </c>
      <c r="L31">
        <v>1</v>
      </c>
    </row>
    <row r="32" spans="1:12">
      <c r="A32" t="s">
        <v>734</v>
      </c>
      <c r="B32">
        <f>SUM(Table9[[#This Row],[USGS]]:Table9[[#This Row],[IND]])</f>
        <v>2</v>
      </c>
      <c r="C32">
        <v>1</v>
      </c>
      <c r="D32">
        <v>0</v>
      </c>
      <c r="E32">
        <v>0</v>
      </c>
      <c r="F32">
        <v>0</v>
      </c>
      <c r="G32">
        <v>0</v>
      </c>
      <c r="H32">
        <v>0</v>
      </c>
      <c r="I32">
        <v>0</v>
      </c>
      <c r="J32">
        <v>0</v>
      </c>
      <c r="K32">
        <v>1</v>
      </c>
      <c r="L32">
        <v>0</v>
      </c>
    </row>
    <row r="33" spans="1:12">
      <c r="A33" t="s">
        <v>832</v>
      </c>
      <c r="B33">
        <f>SUM(Table9[[#This Row],[USGS]]:Table9[[#This Row],[IND]])</f>
        <v>4</v>
      </c>
      <c r="C33">
        <v>0</v>
      </c>
      <c r="D33">
        <v>0</v>
      </c>
      <c r="E33">
        <v>0</v>
      </c>
      <c r="F33">
        <v>0</v>
      </c>
      <c r="G33">
        <v>1</v>
      </c>
      <c r="H33">
        <v>0</v>
      </c>
      <c r="I33">
        <v>1</v>
      </c>
      <c r="J33">
        <v>0</v>
      </c>
      <c r="K33">
        <v>1</v>
      </c>
      <c r="L33">
        <v>1</v>
      </c>
    </row>
    <row r="34" spans="1:12">
      <c r="A34" t="s">
        <v>735</v>
      </c>
      <c r="B34">
        <f>SUM(Table9[[#This Row],[USGS]]:Table9[[#This Row],[IND]])</f>
        <v>6</v>
      </c>
      <c r="C34">
        <v>1</v>
      </c>
      <c r="D34">
        <v>1</v>
      </c>
      <c r="E34">
        <v>0</v>
      </c>
      <c r="F34">
        <v>1</v>
      </c>
      <c r="G34">
        <v>0</v>
      </c>
      <c r="H34">
        <v>0</v>
      </c>
      <c r="I34">
        <v>0</v>
      </c>
      <c r="J34">
        <v>1</v>
      </c>
      <c r="K34">
        <v>1</v>
      </c>
      <c r="L34">
        <v>1</v>
      </c>
    </row>
    <row r="35" spans="1:12">
      <c r="A35" t="s">
        <v>736</v>
      </c>
      <c r="B35">
        <f>SUM(Table9[[#This Row],[USGS]]:Table9[[#This Row],[IND]])</f>
        <v>4</v>
      </c>
      <c r="C35">
        <v>1</v>
      </c>
      <c r="D35">
        <v>1</v>
      </c>
      <c r="E35">
        <v>1</v>
      </c>
      <c r="F35">
        <v>1</v>
      </c>
      <c r="G35">
        <v>0</v>
      </c>
      <c r="H35">
        <v>0</v>
      </c>
      <c r="I35">
        <v>0</v>
      </c>
      <c r="J35">
        <v>0</v>
      </c>
      <c r="K35">
        <v>0</v>
      </c>
      <c r="L35">
        <v>0</v>
      </c>
    </row>
    <row r="36" spans="1:12">
      <c r="A36" t="s">
        <v>737</v>
      </c>
      <c r="B36">
        <f>SUM(Table9[[#This Row],[USGS]]:Table9[[#This Row],[IND]])</f>
        <v>3</v>
      </c>
      <c r="C36">
        <v>1</v>
      </c>
      <c r="D36">
        <v>0</v>
      </c>
      <c r="E36">
        <v>0</v>
      </c>
      <c r="F36">
        <v>0</v>
      </c>
      <c r="G36">
        <v>0</v>
      </c>
      <c r="H36">
        <v>0</v>
      </c>
      <c r="I36">
        <v>0</v>
      </c>
      <c r="J36">
        <v>1</v>
      </c>
      <c r="K36">
        <v>0</v>
      </c>
      <c r="L36">
        <v>1</v>
      </c>
    </row>
    <row r="37" spans="1:12">
      <c r="A37" t="s">
        <v>84</v>
      </c>
      <c r="B37">
        <f>SUM(Table9[[#This Row],[USGS]]:Table9[[#This Row],[IND]])</f>
        <v>10</v>
      </c>
      <c r="C37">
        <v>1</v>
      </c>
      <c r="D37">
        <v>1</v>
      </c>
      <c r="E37">
        <v>1</v>
      </c>
      <c r="F37">
        <v>1</v>
      </c>
      <c r="G37">
        <v>1</v>
      </c>
      <c r="H37">
        <v>1</v>
      </c>
      <c r="I37">
        <v>1</v>
      </c>
      <c r="J37">
        <v>1</v>
      </c>
      <c r="K37">
        <v>1</v>
      </c>
      <c r="L37">
        <v>1</v>
      </c>
    </row>
    <row r="38" spans="1:12">
      <c r="A38" t="s">
        <v>738</v>
      </c>
      <c r="B38">
        <f>SUM(Table9[[#This Row],[USGS]]:Table9[[#This Row],[IND]])</f>
        <v>5</v>
      </c>
      <c r="C38">
        <v>1</v>
      </c>
      <c r="D38">
        <v>0</v>
      </c>
      <c r="E38">
        <v>1</v>
      </c>
      <c r="F38">
        <v>1</v>
      </c>
      <c r="G38">
        <v>1</v>
      </c>
      <c r="H38">
        <v>0</v>
      </c>
      <c r="I38">
        <v>0</v>
      </c>
      <c r="J38">
        <v>0</v>
      </c>
      <c r="K38">
        <v>0</v>
      </c>
      <c r="L38">
        <v>1</v>
      </c>
    </row>
    <row r="39" spans="1:12">
      <c r="A39" t="s">
        <v>739</v>
      </c>
      <c r="B39">
        <f>SUM(Table9[[#This Row],[USGS]]:Table9[[#This Row],[IND]])</f>
        <v>3</v>
      </c>
      <c r="C39">
        <v>1</v>
      </c>
      <c r="D39">
        <v>0</v>
      </c>
      <c r="E39">
        <v>0</v>
      </c>
      <c r="F39">
        <v>1</v>
      </c>
      <c r="G39">
        <v>0</v>
      </c>
      <c r="H39">
        <v>0</v>
      </c>
      <c r="I39">
        <v>0</v>
      </c>
      <c r="J39">
        <v>0</v>
      </c>
      <c r="K39">
        <v>1</v>
      </c>
      <c r="L39">
        <v>0</v>
      </c>
    </row>
    <row r="40" spans="1:12">
      <c r="A40" t="s">
        <v>740</v>
      </c>
      <c r="B40">
        <f>SUM(Table9[[#This Row],[USGS]]:Table9[[#This Row],[IND]])</f>
        <v>1</v>
      </c>
      <c r="C40">
        <v>1</v>
      </c>
      <c r="D40">
        <v>0</v>
      </c>
      <c r="E40">
        <v>0</v>
      </c>
      <c r="F40">
        <v>0</v>
      </c>
      <c r="G40">
        <v>0</v>
      </c>
      <c r="H40">
        <v>0</v>
      </c>
      <c r="I40">
        <v>0</v>
      </c>
      <c r="J40">
        <v>0</v>
      </c>
      <c r="K40">
        <v>0</v>
      </c>
      <c r="L40">
        <v>0</v>
      </c>
    </row>
    <row r="41" spans="1:12">
      <c r="A41" t="s">
        <v>741</v>
      </c>
      <c r="B41">
        <f>SUM(Table9[[#This Row],[USGS]]:Table9[[#This Row],[IND]])</f>
        <v>3</v>
      </c>
      <c r="C41">
        <v>1</v>
      </c>
      <c r="D41">
        <v>0</v>
      </c>
      <c r="E41">
        <v>0</v>
      </c>
      <c r="F41">
        <v>1</v>
      </c>
      <c r="G41">
        <v>0</v>
      </c>
      <c r="H41">
        <v>0</v>
      </c>
      <c r="I41">
        <v>1</v>
      </c>
      <c r="J41">
        <v>0</v>
      </c>
      <c r="K41">
        <v>0</v>
      </c>
      <c r="L41">
        <v>0</v>
      </c>
    </row>
    <row r="42" spans="1:12">
      <c r="A42" t="s">
        <v>742</v>
      </c>
      <c r="B42">
        <f>SUM(Table9[[#This Row],[USGS]]:Table9[[#This Row],[IND]])</f>
        <v>3</v>
      </c>
      <c r="C42">
        <v>1</v>
      </c>
      <c r="D42">
        <v>1</v>
      </c>
      <c r="E42">
        <v>1</v>
      </c>
      <c r="F42">
        <v>0</v>
      </c>
      <c r="G42">
        <v>0</v>
      </c>
      <c r="H42">
        <v>0</v>
      </c>
      <c r="I42">
        <v>0</v>
      </c>
      <c r="J42">
        <v>0</v>
      </c>
      <c r="K42">
        <v>0</v>
      </c>
      <c r="L42">
        <v>0</v>
      </c>
    </row>
    <row r="43" spans="1:12">
      <c r="A43" t="s">
        <v>813</v>
      </c>
      <c r="B43">
        <f>SUM(Table9[[#This Row],[USGS]]:Table9[[#This Row],[IND]])</f>
        <v>2</v>
      </c>
      <c r="C43">
        <v>0</v>
      </c>
      <c r="D43">
        <v>0</v>
      </c>
      <c r="E43">
        <v>1</v>
      </c>
      <c r="F43">
        <v>0</v>
      </c>
      <c r="G43">
        <v>0</v>
      </c>
      <c r="H43">
        <v>0</v>
      </c>
      <c r="I43">
        <v>0</v>
      </c>
      <c r="J43">
        <v>0</v>
      </c>
      <c r="K43">
        <v>0</v>
      </c>
      <c r="L43">
        <v>1</v>
      </c>
    </row>
    <row r="44" spans="1:12">
      <c r="A44" t="s">
        <v>743</v>
      </c>
      <c r="B44">
        <f>SUM(Table9[[#This Row],[USGS]]:Table9[[#This Row],[IND]])</f>
        <v>7</v>
      </c>
      <c r="C44">
        <v>1</v>
      </c>
      <c r="D44">
        <v>1</v>
      </c>
      <c r="E44">
        <v>1</v>
      </c>
      <c r="F44">
        <v>1</v>
      </c>
      <c r="G44">
        <v>1</v>
      </c>
      <c r="H44">
        <v>1</v>
      </c>
      <c r="I44">
        <v>0</v>
      </c>
      <c r="J44">
        <v>0</v>
      </c>
      <c r="K44">
        <v>0</v>
      </c>
      <c r="L44">
        <v>1</v>
      </c>
    </row>
    <row r="45" spans="1:12">
      <c r="A45" t="s">
        <v>562</v>
      </c>
      <c r="B45">
        <f>SUM(Table9[[#This Row],[USGS]]:Table9[[#This Row],[IND]])</f>
        <v>1</v>
      </c>
      <c r="C45">
        <v>1</v>
      </c>
      <c r="D45">
        <v>0</v>
      </c>
      <c r="E45">
        <v>0</v>
      </c>
      <c r="F45">
        <v>0</v>
      </c>
      <c r="G45">
        <v>0</v>
      </c>
      <c r="H45">
        <v>0</v>
      </c>
      <c r="I45">
        <v>0</v>
      </c>
      <c r="J45">
        <v>0</v>
      </c>
      <c r="K45">
        <v>0</v>
      </c>
      <c r="L45">
        <v>0</v>
      </c>
    </row>
    <row r="46" spans="1:12">
      <c r="A46" t="s">
        <v>830</v>
      </c>
      <c r="B46">
        <f>SUM(Table9[[#This Row],[USGS]]:Table9[[#This Row],[IND]])</f>
        <v>1</v>
      </c>
      <c r="C46">
        <v>0</v>
      </c>
      <c r="D46">
        <v>0</v>
      </c>
      <c r="E46">
        <v>0</v>
      </c>
      <c r="F46">
        <v>1</v>
      </c>
      <c r="G46">
        <v>0</v>
      </c>
      <c r="H46">
        <v>0</v>
      </c>
      <c r="I46">
        <v>0</v>
      </c>
      <c r="J46">
        <v>0</v>
      </c>
      <c r="K46">
        <v>0</v>
      </c>
      <c r="L46">
        <v>0</v>
      </c>
    </row>
    <row r="47" spans="1:12">
      <c r="A47" t="s">
        <v>814</v>
      </c>
      <c r="B47">
        <f>SUM(Table9[[#This Row],[USGS]]:Table9[[#This Row],[IND]])</f>
        <v>2</v>
      </c>
      <c r="C47">
        <v>0</v>
      </c>
      <c r="D47">
        <v>1</v>
      </c>
      <c r="E47">
        <v>0</v>
      </c>
      <c r="F47">
        <v>0</v>
      </c>
      <c r="G47">
        <v>0</v>
      </c>
      <c r="H47">
        <v>0</v>
      </c>
      <c r="I47">
        <v>0</v>
      </c>
      <c r="J47">
        <v>0</v>
      </c>
      <c r="K47">
        <v>0</v>
      </c>
      <c r="L47">
        <v>1</v>
      </c>
    </row>
    <row r="48" spans="1:12">
      <c r="A48" t="s">
        <v>744</v>
      </c>
      <c r="B48">
        <f>SUM(Table9[[#This Row],[USGS]]:Table9[[#This Row],[IND]])</f>
        <v>6</v>
      </c>
      <c r="C48">
        <v>1</v>
      </c>
      <c r="D48">
        <v>1</v>
      </c>
      <c r="E48">
        <v>1</v>
      </c>
      <c r="F48">
        <v>1</v>
      </c>
      <c r="G48">
        <v>1</v>
      </c>
      <c r="H48">
        <v>0</v>
      </c>
      <c r="I48">
        <v>0</v>
      </c>
      <c r="J48">
        <v>0</v>
      </c>
      <c r="K48">
        <v>0</v>
      </c>
      <c r="L48">
        <v>1</v>
      </c>
    </row>
    <row r="49" spans="1:12">
      <c r="A49" t="s">
        <v>745</v>
      </c>
      <c r="B49">
        <f>SUM(Table9[[#This Row],[USGS]]:Table9[[#This Row],[IND]])</f>
        <v>4</v>
      </c>
      <c r="C49">
        <v>1</v>
      </c>
      <c r="D49">
        <v>0</v>
      </c>
      <c r="E49">
        <v>1</v>
      </c>
      <c r="F49">
        <v>1</v>
      </c>
      <c r="G49">
        <v>0</v>
      </c>
      <c r="H49">
        <v>0</v>
      </c>
      <c r="I49">
        <v>0</v>
      </c>
      <c r="J49">
        <v>0</v>
      </c>
      <c r="K49">
        <v>0</v>
      </c>
      <c r="L49">
        <v>1</v>
      </c>
    </row>
    <row r="50" spans="1:12">
      <c r="A50" t="s">
        <v>746</v>
      </c>
      <c r="B50">
        <f>SUM(Table9[[#This Row],[USGS]]:Table9[[#This Row],[IND]])</f>
        <v>6</v>
      </c>
      <c r="C50">
        <v>1</v>
      </c>
      <c r="D50">
        <v>0</v>
      </c>
      <c r="E50">
        <v>0</v>
      </c>
      <c r="F50">
        <v>1</v>
      </c>
      <c r="G50">
        <v>1</v>
      </c>
      <c r="H50">
        <v>1</v>
      </c>
      <c r="I50">
        <v>0</v>
      </c>
      <c r="J50">
        <v>1</v>
      </c>
      <c r="K50">
        <v>0</v>
      </c>
      <c r="L50">
        <v>1</v>
      </c>
    </row>
    <row r="51" spans="1:12">
      <c r="A51" t="s">
        <v>747</v>
      </c>
      <c r="B51">
        <f>SUM(Table9[[#This Row],[USGS]]:Table9[[#This Row],[IND]])</f>
        <v>7</v>
      </c>
      <c r="C51">
        <v>1</v>
      </c>
      <c r="D51">
        <v>1</v>
      </c>
      <c r="E51">
        <v>1</v>
      </c>
      <c r="F51">
        <v>1</v>
      </c>
      <c r="G51">
        <v>1</v>
      </c>
      <c r="H51">
        <v>0</v>
      </c>
      <c r="I51">
        <v>0</v>
      </c>
      <c r="J51">
        <v>0</v>
      </c>
      <c r="K51">
        <v>1</v>
      </c>
      <c r="L51">
        <v>1</v>
      </c>
    </row>
    <row r="52" spans="1:12">
      <c r="A52" t="s">
        <v>689</v>
      </c>
      <c r="B52">
        <f>SUM(Table9[[#This Row],[USGS]]:Table9[[#This Row],[IND]])</f>
        <v>8</v>
      </c>
      <c r="C52">
        <v>1</v>
      </c>
      <c r="D52">
        <v>1</v>
      </c>
      <c r="E52">
        <v>1</v>
      </c>
      <c r="F52">
        <v>1</v>
      </c>
      <c r="G52">
        <v>1</v>
      </c>
      <c r="H52">
        <v>0</v>
      </c>
      <c r="I52">
        <v>1</v>
      </c>
      <c r="J52">
        <v>1</v>
      </c>
      <c r="K52">
        <v>0</v>
      </c>
      <c r="L52">
        <v>1</v>
      </c>
    </row>
    <row r="53" spans="1:12">
      <c r="A53" t="s">
        <v>748</v>
      </c>
      <c r="B53">
        <f>SUM(Table9[[#This Row],[USGS]]:Table9[[#This Row],[IND]])</f>
        <v>5</v>
      </c>
      <c r="C53">
        <v>1</v>
      </c>
      <c r="D53">
        <v>0</v>
      </c>
      <c r="E53">
        <v>0</v>
      </c>
      <c r="F53">
        <v>0</v>
      </c>
      <c r="G53">
        <v>1</v>
      </c>
      <c r="H53">
        <v>0</v>
      </c>
      <c r="I53">
        <v>1</v>
      </c>
      <c r="J53">
        <v>1</v>
      </c>
      <c r="K53">
        <v>1</v>
      </c>
      <c r="L53">
        <v>0</v>
      </c>
    </row>
    <row r="54" spans="1:12">
      <c r="A54" t="s">
        <v>749</v>
      </c>
      <c r="B54">
        <f>SUM(Table9[[#This Row],[USGS]]:Table9[[#This Row],[IND]])</f>
        <v>6</v>
      </c>
      <c r="C54">
        <v>1</v>
      </c>
      <c r="D54">
        <v>1</v>
      </c>
      <c r="E54">
        <v>1</v>
      </c>
      <c r="F54">
        <v>1</v>
      </c>
      <c r="G54">
        <v>0</v>
      </c>
      <c r="H54">
        <v>0</v>
      </c>
      <c r="I54">
        <v>0</v>
      </c>
      <c r="J54">
        <v>0</v>
      </c>
      <c r="K54">
        <v>1</v>
      </c>
      <c r="L54">
        <v>1</v>
      </c>
    </row>
    <row r="55" spans="1:12">
      <c r="A55" t="s">
        <v>750</v>
      </c>
      <c r="B55">
        <f>SUM(Table9[[#This Row],[USGS]]:Table9[[#This Row],[IND]])</f>
        <v>2</v>
      </c>
      <c r="C55">
        <v>1</v>
      </c>
      <c r="D55">
        <v>0</v>
      </c>
      <c r="E55">
        <v>0</v>
      </c>
      <c r="F55">
        <v>1</v>
      </c>
      <c r="G55">
        <v>0</v>
      </c>
      <c r="H55">
        <v>0</v>
      </c>
      <c r="I55">
        <v>0</v>
      </c>
      <c r="J55">
        <v>0</v>
      </c>
      <c r="K55">
        <v>0</v>
      </c>
      <c r="L55">
        <v>0</v>
      </c>
    </row>
    <row r="56" spans="1:12">
      <c r="A56" t="s">
        <v>751</v>
      </c>
      <c r="B56">
        <f>SUM(Table9[[#This Row],[USGS]]:Table9[[#This Row],[IND]])</f>
        <v>5</v>
      </c>
      <c r="C56">
        <v>1</v>
      </c>
      <c r="D56">
        <v>0</v>
      </c>
      <c r="E56">
        <v>1</v>
      </c>
      <c r="F56">
        <v>0</v>
      </c>
      <c r="G56">
        <v>0</v>
      </c>
      <c r="H56">
        <v>0</v>
      </c>
      <c r="I56">
        <v>0</v>
      </c>
      <c r="J56">
        <v>1</v>
      </c>
      <c r="K56">
        <v>1</v>
      </c>
      <c r="L56">
        <v>1</v>
      </c>
    </row>
    <row r="57" spans="1:12">
      <c r="A57" t="s">
        <v>911</v>
      </c>
      <c r="B57">
        <f>SUM(Table9[[#This Row],[USGS]]:Table9[[#This Row],[IND]])</f>
        <v>1</v>
      </c>
      <c r="C57">
        <v>0</v>
      </c>
      <c r="D57">
        <v>0</v>
      </c>
      <c r="E57">
        <v>0</v>
      </c>
      <c r="F57">
        <v>0</v>
      </c>
      <c r="G57">
        <v>0</v>
      </c>
      <c r="H57">
        <v>0</v>
      </c>
      <c r="I57">
        <v>0</v>
      </c>
      <c r="J57">
        <v>0</v>
      </c>
      <c r="K57">
        <v>0</v>
      </c>
      <c r="L57">
        <v>1</v>
      </c>
    </row>
    <row r="58" spans="1:12">
      <c r="A58" t="s">
        <v>913</v>
      </c>
      <c r="B58">
        <f>SUM(Table9[[#This Row],[USGS]]:Table9[[#This Row],[IND]])</f>
        <v>1</v>
      </c>
      <c r="C58">
        <v>0</v>
      </c>
      <c r="D58">
        <v>0</v>
      </c>
      <c r="E58">
        <v>0</v>
      </c>
      <c r="F58">
        <v>0</v>
      </c>
      <c r="G58">
        <v>0</v>
      </c>
      <c r="H58">
        <v>0</v>
      </c>
      <c r="I58">
        <v>0</v>
      </c>
      <c r="J58">
        <v>0</v>
      </c>
      <c r="K58">
        <v>0</v>
      </c>
      <c r="L58">
        <v>1</v>
      </c>
    </row>
  </sheetData>
  <conditionalFormatting sqref="C2:L58">
    <cfRule type="cellIs" dxfId="0" priority="2" operator="greaterThan">
      <formula>0</formula>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04AC9-A77E-4544-8961-CAD019B08338}">
  <dimension ref="A1:B47"/>
  <sheetViews>
    <sheetView workbookViewId="0">
      <selection activeCell="C13" sqref="C13"/>
    </sheetView>
  </sheetViews>
  <sheetFormatPr defaultColWidth="49.33203125" defaultRowHeight="14.4"/>
  <sheetData>
    <row r="1" spans="1:2" ht="15" thickBot="1">
      <c r="A1" s="1" t="s">
        <v>0</v>
      </c>
      <c r="B1" s="1" t="s">
        <v>1</v>
      </c>
    </row>
    <row r="2" spans="1:2" ht="15" thickBot="1">
      <c r="A2" s="2" t="s">
        <v>2</v>
      </c>
      <c r="B2" s="2" t="s">
        <v>3</v>
      </c>
    </row>
    <row r="3" spans="1:2" ht="15" thickBot="1">
      <c r="A3" s="2" t="s">
        <v>4</v>
      </c>
      <c r="B3" s="2" t="s">
        <v>354</v>
      </c>
    </row>
    <row r="4" spans="1:2" ht="15" thickBot="1">
      <c r="A4" s="2" t="s">
        <v>5</v>
      </c>
      <c r="B4" s="2" t="s">
        <v>6</v>
      </c>
    </row>
    <row r="5" spans="1:2" ht="15" thickBot="1">
      <c r="A5" s="2" t="s">
        <v>7</v>
      </c>
      <c r="B5" s="2" t="s">
        <v>8</v>
      </c>
    </row>
    <row r="6" spans="1:2" ht="15" thickBot="1">
      <c r="A6" s="2" t="s">
        <v>9</v>
      </c>
      <c r="B6" s="2" t="s">
        <v>10</v>
      </c>
    </row>
    <row r="7" spans="1:2" ht="15" thickBot="1">
      <c r="A7" s="2" t="s">
        <v>11</v>
      </c>
      <c r="B7" s="2" t="s">
        <v>12</v>
      </c>
    </row>
    <row r="8" spans="1:2" ht="15" thickBot="1">
      <c r="A8" s="2" t="s">
        <v>13</v>
      </c>
      <c r="B8" s="2" t="s">
        <v>355</v>
      </c>
    </row>
    <row r="9" spans="1:2" ht="15" thickBot="1">
      <c r="A9" s="2" t="s">
        <v>14</v>
      </c>
      <c r="B9" s="2" t="s">
        <v>15</v>
      </c>
    </row>
    <row r="10" spans="1:2" ht="15" thickBot="1">
      <c r="A10" s="2" t="s">
        <v>16</v>
      </c>
      <c r="B10" s="2" t="s">
        <v>356</v>
      </c>
    </row>
    <row r="11" spans="1:2" ht="15" thickBot="1">
      <c r="A11" s="2" t="s">
        <v>17</v>
      </c>
      <c r="B11" s="2" t="s">
        <v>358</v>
      </c>
    </row>
    <row r="12" spans="1:2" ht="15" thickBot="1">
      <c r="A12" s="2" t="s">
        <v>18</v>
      </c>
      <c r="B12" s="2" t="s">
        <v>19</v>
      </c>
    </row>
    <row r="13" spans="1:2" ht="15" thickBot="1">
      <c r="A13" s="2" t="s">
        <v>20</v>
      </c>
      <c r="B13" s="2" t="s">
        <v>21</v>
      </c>
    </row>
    <row r="14" spans="1:2" ht="15" thickBot="1">
      <c r="A14" s="2" t="s">
        <v>22</v>
      </c>
      <c r="B14" s="2" t="s">
        <v>23</v>
      </c>
    </row>
    <row r="15" spans="1:2" ht="15" thickBot="1">
      <c r="A15" s="2" t="s">
        <v>24</v>
      </c>
      <c r="B15" s="2" t="s">
        <v>25</v>
      </c>
    </row>
    <row r="16" spans="1:2" ht="15" thickBot="1">
      <c r="A16" s="2" t="s">
        <v>26</v>
      </c>
      <c r="B16" s="2" t="s">
        <v>27</v>
      </c>
    </row>
    <row r="17" spans="1:2" ht="15" thickBot="1">
      <c r="A17" s="2" t="s">
        <v>28</v>
      </c>
      <c r="B17" s="2" t="s">
        <v>29</v>
      </c>
    </row>
    <row r="18" spans="1:2" ht="15" thickBot="1">
      <c r="A18" s="2" t="s">
        <v>30</v>
      </c>
      <c r="B18" s="2" t="s">
        <v>31</v>
      </c>
    </row>
    <row r="19" spans="1:2" ht="15" thickBot="1">
      <c r="A19" s="2" t="s">
        <v>32</v>
      </c>
      <c r="B19" s="2" t="s">
        <v>33</v>
      </c>
    </row>
    <row r="20" spans="1:2" ht="15" thickBot="1">
      <c r="A20" s="2" t="s">
        <v>34</v>
      </c>
      <c r="B20" s="2" t="s">
        <v>35</v>
      </c>
    </row>
    <row r="21" spans="1:2" ht="15" thickBot="1">
      <c r="A21" s="2" t="s">
        <v>36</v>
      </c>
      <c r="B21" s="2" t="s">
        <v>37</v>
      </c>
    </row>
    <row r="22" spans="1:2" ht="15" thickBot="1">
      <c r="A22" s="2" t="s">
        <v>38</v>
      </c>
      <c r="B22" s="2" t="s">
        <v>357</v>
      </c>
    </row>
    <row r="23" spans="1:2" ht="15" thickBot="1">
      <c r="A23" s="2" t="s">
        <v>39</v>
      </c>
      <c r="B23" s="2" t="s">
        <v>40</v>
      </c>
    </row>
    <row r="24" spans="1:2" ht="15" thickBot="1">
      <c r="A24" s="2" t="s">
        <v>41</v>
      </c>
      <c r="B24" s="2" t="s">
        <v>42</v>
      </c>
    </row>
    <row r="25" spans="1:2" ht="15" thickBot="1">
      <c r="A25" s="2" t="s">
        <v>43</v>
      </c>
      <c r="B25" s="2" t="s">
        <v>44</v>
      </c>
    </row>
    <row r="26" spans="1:2" ht="15" thickBot="1">
      <c r="A26" s="2" t="s">
        <v>45</v>
      </c>
      <c r="B26" s="2" t="s">
        <v>46</v>
      </c>
    </row>
    <row r="27" spans="1:2" ht="15" thickBot="1">
      <c r="A27" s="2" t="s">
        <v>47</v>
      </c>
      <c r="B27" s="2" t="s">
        <v>48</v>
      </c>
    </row>
    <row r="28" spans="1:2" ht="29.4" thickBot="1">
      <c r="A28" s="2" t="s">
        <v>49</v>
      </c>
      <c r="B28" s="2" t="s">
        <v>50</v>
      </c>
    </row>
    <row r="29" spans="1:2" ht="15" thickBot="1">
      <c r="A29" s="2" t="s">
        <v>51</v>
      </c>
      <c r="B29" s="2" t="s">
        <v>33</v>
      </c>
    </row>
    <row r="30" spans="1:2" ht="15" thickBot="1">
      <c r="A30" s="2" t="s">
        <v>52</v>
      </c>
      <c r="B30" s="2" t="s">
        <v>53</v>
      </c>
    </row>
    <row r="31" spans="1:2" ht="15" thickBot="1">
      <c r="A31" s="2" t="s">
        <v>54</v>
      </c>
      <c r="B31" s="2" t="s">
        <v>55</v>
      </c>
    </row>
    <row r="32" spans="1:2" ht="15" thickBot="1">
      <c r="A32" s="2" t="s">
        <v>56</v>
      </c>
      <c r="B32" s="2" t="s">
        <v>57</v>
      </c>
    </row>
    <row r="33" spans="1:2" ht="15" thickBot="1">
      <c r="A33" s="2" t="s">
        <v>58</v>
      </c>
      <c r="B33" s="2" t="s">
        <v>15</v>
      </c>
    </row>
    <row r="34" spans="1:2" ht="15" thickBot="1">
      <c r="A34" s="2" t="s">
        <v>59</v>
      </c>
      <c r="B34" s="2" t="s">
        <v>57</v>
      </c>
    </row>
    <row r="35" spans="1:2" ht="15" thickBot="1">
      <c r="A35" s="2" t="s">
        <v>60</v>
      </c>
      <c r="B35" s="2" t="s">
        <v>61</v>
      </c>
    </row>
    <row r="36" spans="1:2" ht="15" thickBot="1">
      <c r="A36" s="2" t="s">
        <v>62</v>
      </c>
      <c r="B36" s="2" t="s">
        <v>63</v>
      </c>
    </row>
    <row r="37" spans="1:2" ht="15" thickBot="1">
      <c r="A37" s="2" t="s">
        <v>64</v>
      </c>
      <c r="B37" s="2" t="s">
        <v>65</v>
      </c>
    </row>
    <row r="38" spans="1:2" ht="15" thickBot="1">
      <c r="A38" s="2" t="s">
        <v>66</v>
      </c>
      <c r="B38" s="2" t="s">
        <v>67</v>
      </c>
    </row>
    <row r="39" spans="1:2" ht="15" thickBot="1">
      <c r="A39" s="2" t="s">
        <v>68</v>
      </c>
      <c r="B39" s="2" t="s">
        <v>69</v>
      </c>
    </row>
    <row r="40" spans="1:2" ht="15" thickBot="1">
      <c r="A40" s="2" t="s">
        <v>70</v>
      </c>
      <c r="B40" s="2" t="s">
        <v>71</v>
      </c>
    </row>
    <row r="41" spans="1:2" ht="15" thickBot="1">
      <c r="A41" s="2" t="s">
        <v>72</v>
      </c>
      <c r="B41" s="2" t="s">
        <v>73</v>
      </c>
    </row>
    <row r="42" spans="1:2" ht="15" thickBot="1">
      <c r="A42" s="2" t="s">
        <v>74</v>
      </c>
      <c r="B42" s="2" t="s">
        <v>75</v>
      </c>
    </row>
    <row r="43" spans="1:2" ht="15" thickBot="1">
      <c r="A43" s="2" t="s">
        <v>76</v>
      </c>
      <c r="B43" s="2" t="s">
        <v>77</v>
      </c>
    </row>
    <row r="44" spans="1:2" ht="15" thickBot="1">
      <c r="A44" s="2" t="s">
        <v>78</v>
      </c>
      <c r="B44" s="2" t="s">
        <v>79</v>
      </c>
    </row>
    <row r="45" spans="1:2" ht="15" thickBot="1">
      <c r="A45" s="2" t="s">
        <v>80</v>
      </c>
      <c r="B45" s="2" t="s">
        <v>81</v>
      </c>
    </row>
    <row r="46" spans="1:2" ht="15" thickBot="1">
      <c r="A46" s="2" t="s">
        <v>82</v>
      </c>
      <c r="B46" s="2" t="s">
        <v>83</v>
      </c>
    </row>
    <row r="47" spans="1:2" ht="43.2">
      <c r="A47" s="3" t="s">
        <v>84</v>
      </c>
      <c r="B47" s="4" t="s">
        <v>85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BFB8A-B743-4D2E-ABC1-CA7EA6196654}">
  <dimension ref="A1:AW54"/>
  <sheetViews>
    <sheetView topLeftCell="AK1" workbookViewId="0">
      <selection activeCell="BB13" sqref="BB13"/>
    </sheetView>
  </sheetViews>
  <sheetFormatPr defaultRowHeight="14.4"/>
  <cols>
    <col min="2" max="2" width="12.6640625" bestFit="1" customWidth="1"/>
  </cols>
  <sheetData>
    <row r="1" spans="1:49">
      <c r="A1" s="5" t="s">
        <v>709</v>
      </c>
      <c r="B1" s="5" t="s">
        <v>158</v>
      </c>
      <c r="C1" t="s">
        <v>712</v>
      </c>
      <c r="D1" t="s">
        <v>713</v>
      </c>
      <c r="E1" t="s">
        <v>714</v>
      </c>
      <c r="F1" t="s">
        <v>715</v>
      </c>
      <c r="G1" t="s">
        <v>716</v>
      </c>
      <c r="H1" t="s">
        <v>717</v>
      </c>
      <c r="I1" t="s">
        <v>718</v>
      </c>
      <c r="J1" t="s">
        <v>719</v>
      </c>
      <c r="K1" t="s">
        <v>720</v>
      </c>
      <c r="L1" t="s">
        <v>721</v>
      </c>
      <c r="M1" t="s">
        <v>722</v>
      </c>
      <c r="N1" t="s">
        <v>723</v>
      </c>
      <c r="O1" t="s">
        <v>724</v>
      </c>
      <c r="P1" t="s">
        <v>725</v>
      </c>
      <c r="Q1" t="s">
        <v>726</v>
      </c>
      <c r="R1" t="s">
        <v>727</v>
      </c>
      <c r="S1" t="s">
        <v>587</v>
      </c>
      <c r="T1" t="s">
        <v>728</v>
      </c>
      <c r="U1" t="s">
        <v>729</v>
      </c>
      <c r="V1" t="s">
        <v>730</v>
      </c>
      <c r="W1" t="s">
        <v>731</v>
      </c>
      <c r="X1" t="s">
        <v>732</v>
      </c>
      <c r="Y1" t="s">
        <v>625</v>
      </c>
      <c r="Z1" t="s">
        <v>636</v>
      </c>
      <c r="AA1" t="s">
        <v>733</v>
      </c>
      <c r="AB1" t="s">
        <v>734</v>
      </c>
      <c r="AC1" t="s">
        <v>735</v>
      </c>
      <c r="AD1" t="s">
        <v>736</v>
      </c>
      <c r="AE1" t="s">
        <v>737</v>
      </c>
      <c r="AF1" t="s">
        <v>738</v>
      </c>
      <c r="AG1" t="s">
        <v>739</v>
      </c>
      <c r="AH1" t="s">
        <v>740</v>
      </c>
      <c r="AI1" t="s">
        <v>741</v>
      </c>
      <c r="AJ1" t="s">
        <v>742</v>
      </c>
      <c r="AK1" t="s">
        <v>743</v>
      </c>
      <c r="AL1" t="s">
        <v>562</v>
      </c>
      <c r="AM1" t="s">
        <v>744</v>
      </c>
      <c r="AN1" t="s">
        <v>745</v>
      </c>
      <c r="AO1" t="s">
        <v>746</v>
      </c>
      <c r="AP1" t="s">
        <v>747</v>
      </c>
      <c r="AQ1" t="s">
        <v>689</v>
      </c>
      <c r="AR1" t="s">
        <v>748</v>
      </c>
      <c r="AS1" t="s">
        <v>749</v>
      </c>
      <c r="AT1" t="s">
        <v>750</v>
      </c>
      <c r="AU1" t="s">
        <v>751</v>
      </c>
      <c r="AV1" t="s">
        <v>84</v>
      </c>
      <c r="AW1" t="s">
        <v>151</v>
      </c>
    </row>
    <row r="2" spans="1:49">
      <c r="A2" t="s">
        <v>545</v>
      </c>
      <c r="B2" t="str">
        <f>VLOOKUP(Table112[[#This Row],[Country Code]],Table10[[ISO3]:[Continent]],2,FALSE)</f>
        <v>Asia</v>
      </c>
      <c r="C2">
        <v>0</v>
      </c>
      <c r="D2">
        <v>1</v>
      </c>
      <c r="E2">
        <v>1</v>
      </c>
      <c r="F2">
        <v>1</v>
      </c>
      <c r="G2">
        <v>1</v>
      </c>
      <c r="H2">
        <v>1</v>
      </c>
      <c r="I2">
        <v>0</v>
      </c>
      <c r="J2">
        <v>0</v>
      </c>
      <c r="K2">
        <v>0</v>
      </c>
      <c r="L2">
        <v>0</v>
      </c>
      <c r="M2">
        <v>0</v>
      </c>
      <c r="N2">
        <v>1</v>
      </c>
      <c r="O2">
        <v>1</v>
      </c>
      <c r="P2">
        <v>1</v>
      </c>
      <c r="Q2">
        <v>1</v>
      </c>
      <c r="R2">
        <v>0</v>
      </c>
      <c r="S2">
        <v>1</v>
      </c>
      <c r="T2">
        <v>0</v>
      </c>
      <c r="U2">
        <v>1</v>
      </c>
      <c r="V2">
        <v>1</v>
      </c>
      <c r="W2">
        <v>1</v>
      </c>
      <c r="X2">
        <v>0</v>
      </c>
      <c r="Y2">
        <v>0</v>
      </c>
      <c r="Z2">
        <v>0</v>
      </c>
      <c r="AA2">
        <v>0</v>
      </c>
      <c r="AB2">
        <v>0</v>
      </c>
      <c r="AC2">
        <v>1</v>
      </c>
      <c r="AD2">
        <v>0</v>
      </c>
      <c r="AE2">
        <v>1</v>
      </c>
      <c r="AF2">
        <v>0</v>
      </c>
      <c r="AG2">
        <v>0</v>
      </c>
      <c r="AH2">
        <v>0</v>
      </c>
      <c r="AI2">
        <v>0</v>
      </c>
      <c r="AJ2">
        <v>1</v>
      </c>
      <c r="AK2">
        <v>1</v>
      </c>
      <c r="AL2">
        <v>1</v>
      </c>
      <c r="AM2">
        <v>0</v>
      </c>
      <c r="AN2">
        <v>1</v>
      </c>
      <c r="AO2">
        <v>1</v>
      </c>
      <c r="AP2">
        <v>1</v>
      </c>
      <c r="AQ2">
        <v>1</v>
      </c>
      <c r="AR2">
        <v>0</v>
      </c>
      <c r="AS2">
        <v>1</v>
      </c>
      <c r="AT2">
        <v>1</v>
      </c>
      <c r="AU2">
        <v>0</v>
      </c>
      <c r="AV2">
        <v>1</v>
      </c>
      <c r="AW2">
        <f>SUM(Table112[[#This Row],[ALU]]:Table112[[#This Row],[REE]])</f>
        <v>25</v>
      </c>
    </row>
    <row r="3" spans="1:49">
      <c r="A3" t="s">
        <v>518</v>
      </c>
      <c r="B3" t="str">
        <f>VLOOKUP(Table112[[#This Row],[Country Code]],Table10[[ISO3]:[Continent]],2,FALSE)</f>
        <v>Oceania</v>
      </c>
      <c r="C3">
        <v>1</v>
      </c>
      <c r="D3">
        <v>0</v>
      </c>
      <c r="E3">
        <v>0</v>
      </c>
      <c r="F3">
        <v>0</v>
      </c>
      <c r="G3">
        <v>0</v>
      </c>
      <c r="H3">
        <v>0</v>
      </c>
      <c r="I3">
        <v>0</v>
      </c>
      <c r="J3">
        <v>1</v>
      </c>
      <c r="K3">
        <v>0</v>
      </c>
      <c r="L3">
        <v>1</v>
      </c>
      <c r="M3">
        <v>1</v>
      </c>
      <c r="N3">
        <v>0</v>
      </c>
      <c r="O3">
        <v>1</v>
      </c>
      <c r="P3">
        <v>0</v>
      </c>
      <c r="Q3">
        <v>0</v>
      </c>
      <c r="R3">
        <v>1</v>
      </c>
      <c r="S3">
        <v>1</v>
      </c>
      <c r="T3">
        <v>0</v>
      </c>
      <c r="U3">
        <v>1</v>
      </c>
      <c r="V3">
        <v>1</v>
      </c>
      <c r="W3">
        <v>0</v>
      </c>
      <c r="X3">
        <v>1</v>
      </c>
      <c r="Y3">
        <v>1</v>
      </c>
      <c r="Z3">
        <v>1</v>
      </c>
      <c r="AA3">
        <v>1</v>
      </c>
      <c r="AB3">
        <v>0</v>
      </c>
      <c r="AC3">
        <v>0</v>
      </c>
      <c r="AD3">
        <v>0</v>
      </c>
      <c r="AE3">
        <v>0</v>
      </c>
      <c r="AF3">
        <v>0</v>
      </c>
      <c r="AG3">
        <v>0</v>
      </c>
      <c r="AH3">
        <v>1</v>
      </c>
      <c r="AI3">
        <v>0</v>
      </c>
      <c r="AJ3">
        <v>1</v>
      </c>
      <c r="AK3">
        <v>1</v>
      </c>
      <c r="AL3">
        <v>1</v>
      </c>
      <c r="AM3">
        <v>1</v>
      </c>
      <c r="AN3">
        <v>0</v>
      </c>
      <c r="AO3">
        <v>0</v>
      </c>
      <c r="AP3">
        <v>1</v>
      </c>
      <c r="AQ3">
        <v>0</v>
      </c>
      <c r="AR3">
        <v>1</v>
      </c>
      <c r="AS3">
        <v>1</v>
      </c>
      <c r="AT3">
        <v>1</v>
      </c>
      <c r="AU3">
        <v>1</v>
      </c>
      <c r="AV3">
        <v>1</v>
      </c>
      <c r="AW3">
        <f>SUM(Table112[[#This Row],[ALU]]:Table112[[#This Row],[REE]])</f>
        <v>24</v>
      </c>
    </row>
    <row r="4" spans="1:49">
      <c r="A4" t="s">
        <v>654</v>
      </c>
      <c r="B4" t="str">
        <f>VLOOKUP(Table112[[#This Row],[Country Code]],Table10[[ISO3]:[Continent]],2,FALSE)</f>
        <v>Eurasia</v>
      </c>
      <c r="C4">
        <v>0</v>
      </c>
      <c r="D4">
        <v>1</v>
      </c>
      <c r="E4">
        <v>1</v>
      </c>
      <c r="F4">
        <v>0</v>
      </c>
      <c r="G4">
        <v>0</v>
      </c>
      <c r="H4">
        <v>0</v>
      </c>
      <c r="I4">
        <v>1</v>
      </c>
      <c r="J4">
        <v>0</v>
      </c>
      <c r="K4">
        <v>0</v>
      </c>
      <c r="L4">
        <v>0</v>
      </c>
      <c r="M4">
        <v>1</v>
      </c>
      <c r="N4">
        <v>0</v>
      </c>
      <c r="O4">
        <v>0</v>
      </c>
      <c r="P4">
        <v>1</v>
      </c>
      <c r="Q4">
        <v>0</v>
      </c>
      <c r="R4">
        <v>0</v>
      </c>
      <c r="S4">
        <v>0</v>
      </c>
      <c r="T4">
        <v>1</v>
      </c>
      <c r="U4">
        <v>0</v>
      </c>
      <c r="V4">
        <v>0</v>
      </c>
      <c r="W4">
        <v>1</v>
      </c>
      <c r="X4">
        <v>0</v>
      </c>
      <c r="Y4">
        <v>1</v>
      </c>
      <c r="Z4">
        <v>1</v>
      </c>
      <c r="AA4">
        <v>0</v>
      </c>
      <c r="AB4">
        <v>1</v>
      </c>
      <c r="AC4">
        <v>0</v>
      </c>
      <c r="AD4">
        <v>1</v>
      </c>
      <c r="AE4">
        <v>1</v>
      </c>
      <c r="AF4">
        <v>0</v>
      </c>
      <c r="AG4">
        <v>1</v>
      </c>
      <c r="AH4">
        <v>0</v>
      </c>
      <c r="AI4">
        <v>1</v>
      </c>
      <c r="AJ4">
        <v>1</v>
      </c>
      <c r="AK4">
        <v>0</v>
      </c>
      <c r="AL4">
        <v>0</v>
      </c>
      <c r="AM4">
        <v>0</v>
      </c>
      <c r="AN4">
        <v>0</v>
      </c>
      <c r="AO4">
        <v>0</v>
      </c>
      <c r="AP4">
        <v>0</v>
      </c>
      <c r="AQ4">
        <v>1</v>
      </c>
      <c r="AR4">
        <v>0</v>
      </c>
      <c r="AS4">
        <v>1</v>
      </c>
      <c r="AT4">
        <v>0</v>
      </c>
      <c r="AU4">
        <v>0</v>
      </c>
      <c r="AV4">
        <v>1</v>
      </c>
      <c r="AW4">
        <f>SUM(Table112[[#This Row],[ALU]]:Table112[[#This Row],[REE]])</f>
        <v>18</v>
      </c>
    </row>
    <row r="5" spans="1:49">
      <c r="A5" t="s">
        <v>541</v>
      </c>
      <c r="B5" t="str">
        <f>VLOOKUP(Table112[[#This Row],[Country Code]],Table10[[ISO3]:[Continent]],2,FALSE)</f>
        <v>North America</v>
      </c>
      <c r="C5">
        <v>0</v>
      </c>
      <c r="D5">
        <v>0</v>
      </c>
      <c r="E5">
        <v>0</v>
      </c>
      <c r="F5">
        <v>0</v>
      </c>
      <c r="G5">
        <v>0</v>
      </c>
      <c r="H5">
        <v>0</v>
      </c>
      <c r="I5">
        <v>0</v>
      </c>
      <c r="J5">
        <v>1</v>
      </c>
      <c r="K5">
        <v>0</v>
      </c>
      <c r="L5">
        <v>1</v>
      </c>
      <c r="M5">
        <v>0</v>
      </c>
      <c r="N5">
        <v>0</v>
      </c>
      <c r="O5">
        <v>0</v>
      </c>
      <c r="P5">
        <v>1</v>
      </c>
      <c r="Q5">
        <v>0</v>
      </c>
      <c r="R5">
        <v>0</v>
      </c>
      <c r="S5">
        <v>1</v>
      </c>
      <c r="T5">
        <v>1</v>
      </c>
      <c r="U5">
        <v>0</v>
      </c>
      <c r="V5">
        <v>1</v>
      </c>
      <c r="W5">
        <v>0</v>
      </c>
      <c r="X5">
        <v>0</v>
      </c>
      <c r="Y5">
        <v>1</v>
      </c>
      <c r="Z5">
        <v>1</v>
      </c>
      <c r="AA5">
        <v>1</v>
      </c>
      <c r="AB5">
        <v>1</v>
      </c>
      <c r="AC5">
        <v>0</v>
      </c>
      <c r="AD5">
        <v>1</v>
      </c>
      <c r="AE5">
        <v>1</v>
      </c>
      <c r="AF5">
        <v>0</v>
      </c>
      <c r="AG5">
        <v>0</v>
      </c>
      <c r="AH5">
        <v>1</v>
      </c>
      <c r="AI5">
        <v>0</v>
      </c>
      <c r="AJ5">
        <v>0</v>
      </c>
      <c r="AK5">
        <v>0</v>
      </c>
      <c r="AL5">
        <v>0</v>
      </c>
      <c r="AM5">
        <v>0</v>
      </c>
      <c r="AN5">
        <v>1</v>
      </c>
      <c r="AO5">
        <v>0</v>
      </c>
      <c r="AP5">
        <v>0</v>
      </c>
      <c r="AQ5">
        <v>0</v>
      </c>
      <c r="AR5">
        <v>1</v>
      </c>
      <c r="AS5">
        <v>0</v>
      </c>
      <c r="AT5">
        <v>0</v>
      </c>
      <c r="AU5">
        <v>0</v>
      </c>
      <c r="AV5">
        <v>1</v>
      </c>
      <c r="AW5">
        <f>SUM(Table112[[#This Row],[ALU]]:Table112[[#This Row],[REE]])</f>
        <v>16</v>
      </c>
    </row>
    <row r="6" spans="1:49">
      <c r="A6" t="s">
        <v>672</v>
      </c>
      <c r="B6" t="str">
        <f>VLOOKUP(Table112[[#This Row],[Country Code]],Table10[[ISO3]:[Continent]],2,FALSE)</f>
        <v>Africa</v>
      </c>
      <c r="C6">
        <v>0</v>
      </c>
      <c r="D6">
        <v>0</v>
      </c>
      <c r="E6">
        <v>0</v>
      </c>
      <c r="F6">
        <v>0</v>
      </c>
      <c r="G6">
        <v>0</v>
      </c>
      <c r="H6">
        <v>0</v>
      </c>
      <c r="I6">
        <v>0</v>
      </c>
      <c r="J6">
        <v>0</v>
      </c>
      <c r="K6">
        <v>1</v>
      </c>
      <c r="L6">
        <v>0</v>
      </c>
      <c r="M6">
        <v>0</v>
      </c>
      <c r="N6">
        <v>1</v>
      </c>
      <c r="O6">
        <v>0</v>
      </c>
      <c r="P6">
        <v>0</v>
      </c>
      <c r="Q6">
        <v>0</v>
      </c>
      <c r="R6">
        <v>1</v>
      </c>
      <c r="S6">
        <v>0</v>
      </c>
      <c r="T6">
        <v>1</v>
      </c>
      <c r="U6">
        <v>0</v>
      </c>
      <c r="V6">
        <v>0</v>
      </c>
      <c r="W6">
        <v>0</v>
      </c>
      <c r="X6">
        <v>1</v>
      </c>
      <c r="Y6">
        <v>0</v>
      </c>
      <c r="Z6">
        <v>0</v>
      </c>
      <c r="AA6">
        <v>0</v>
      </c>
      <c r="AB6">
        <v>1</v>
      </c>
      <c r="AC6">
        <v>0</v>
      </c>
      <c r="AD6">
        <v>1</v>
      </c>
      <c r="AE6">
        <v>0</v>
      </c>
      <c r="AF6">
        <v>0</v>
      </c>
      <c r="AG6">
        <v>1</v>
      </c>
      <c r="AH6">
        <v>0</v>
      </c>
      <c r="AI6">
        <v>1</v>
      </c>
      <c r="AJ6">
        <v>0</v>
      </c>
      <c r="AK6">
        <v>0</v>
      </c>
      <c r="AL6">
        <v>0</v>
      </c>
      <c r="AM6">
        <v>0</v>
      </c>
      <c r="AN6">
        <v>0</v>
      </c>
      <c r="AO6">
        <v>0</v>
      </c>
      <c r="AP6">
        <v>1</v>
      </c>
      <c r="AQ6">
        <v>0</v>
      </c>
      <c r="AR6">
        <v>0</v>
      </c>
      <c r="AS6">
        <v>1</v>
      </c>
      <c r="AT6">
        <v>0</v>
      </c>
      <c r="AU6">
        <v>1</v>
      </c>
      <c r="AV6">
        <v>1</v>
      </c>
      <c r="AW6">
        <f>SUM(Table112[[#This Row],[ALU]]:Table112[[#This Row],[REE]])</f>
        <v>13</v>
      </c>
    </row>
    <row r="7" spans="1:49">
      <c r="A7" t="s">
        <v>246</v>
      </c>
      <c r="B7" t="str">
        <f>VLOOKUP(Table112[[#This Row],[Country Code]],Table10[[ISO3]:[Continent]],2,FALSE)</f>
        <v>North America</v>
      </c>
      <c r="C7">
        <v>0</v>
      </c>
      <c r="D7">
        <v>0</v>
      </c>
      <c r="E7">
        <v>0</v>
      </c>
      <c r="F7">
        <v>1</v>
      </c>
      <c r="G7">
        <v>1</v>
      </c>
      <c r="H7">
        <v>0</v>
      </c>
      <c r="I7">
        <v>1</v>
      </c>
      <c r="J7">
        <v>0</v>
      </c>
      <c r="K7">
        <v>0</v>
      </c>
      <c r="L7">
        <v>0</v>
      </c>
      <c r="M7">
        <v>1</v>
      </c>
      <c r="N7">
        <v>0</v>
      </c>
      <c r="O7">
        <v>0</v>
      </c>
      <c r="P7">
        <v>1</v>
      </c>
      <c r="Q7">
        <v>0</v>
      </c>
      <c r="R7">
        <v>1</v>
      </c>
      <c r="S7">
        <v>0</v>
      </c>
      <c r="T7">
        <v>0</v>
      </c>
      <c r="U7">
        <v>1</v>
      </c>
      <c r="V7">
        <v>0</v>
      </c>
      <c r="W7">
        <v>0</v>
      </c>
      <c r="X7">
        <v>0</v>
      </c>
      <c r="Y7">
        <v>1</v>
      </c>
      <c r="Z7">
        <v>0</v>
      </c>
      <c r="AA7">
        <v>0</v>
      </c>
      <c r="AB7">
        <v>1</v>
      </c>
      <c r="AC7">
        <v>0</v>
      </c>
      <c r="AD7">
        <v>0</v>
      </c>
      <c r="AE7">
        <v>0</v>
      </c>
      <c r="AF7">
        <v>1</v>
      </c>
      <c r="AG7">
        <v>0</v>
      </c>
      <c r="AH7">
        <v>0</v>
      </c>
      <c r="AI7">
        <v>0</v>
      </c>
      <c r="AJ7">
        <v>0</v>
      </c>
      <c r="AK7">
        <v>1</v>
      </c>
      <c r="AL7">
        <v>0</v>
      </c>
      <c r="AM7">
        <v>0</v>
      </c>
      <c r="AN7">
        <v>0</v>
      </c>
      <c r="AO7">
        <v>0</v>
      </c>
      <c r="AP7">
        <v>0</v>
      </c>
      <c r="AQ7">
        <v>0</v>
      </c>
      <c r="AR7">
        <v>0</v>
      </c>
      <c r="AS7">
        <v>0</v>
      </c>
      <c r="AT7">
        <v>0</v>
      </c>
      <c r="AU7">
        <v>1</v>
      </c>
      <c r="AV7">
        <v>1</v>
      </c>
      <c r="AW7">
        <f>SUM(Table112[[#This Row],[ALU]]:Table112[[#This Row],[REE]])</f>
        <v>13</v>
      </c>
    </row>
    <row r="8" spans="1:49">
      <c r="A8" t="s">
        <v>533</v>
      </c>
      <c r="B8" t="str">
        <f>VLOOKUP(Table112[[#This Row],[Country Code]],Table10[[ISO3]:[Continent]],2,FALSE)</f>
        <v>South America</v>
      </c>
      <c r="C8">
        <v>1</v>
      </c>
      <c r="D8">
        <v>0</v>
      </c>
      <c r="E8">
        <v>0</v>
      </c>
      <c r="F8">
        <v>0</v>
      </c>
      <c r="G8">
        <v>1</v>
      </c>
      <c r="H8">
        <v>0</v>
      </c>
      <c r="I8">
        <v>0</v>
      </c>
      <c r="J8">
        <v>0</v>
      </c>
      <c r="K8">
        <v>0</v>
      </c>
      <c r="L8">
        <v>0</v>
      </c>
      <c r="M8">
        <v>0</v>
      </c>
      <c r="N8">
        <v>0</v>
      </c>
      <c r="O8">
        <v>0</v>
      </c>
      <c r="P8">
        <v>0</v>
      </c>
      <c r="Q8">
        <v>1</v>
      </c>
      <c r="R8">
        <v>0</v>
      </c>
      <c r="S8">
        <v>0</v>
      </c>
      <c r="T8">
        <v>0</v>
      </c>
      <c r="U8">
        <v>0</v>
      </c>
      <c r="V8">
        <v>0</v>
      </c>
      <c r="W8">
        <v>1</v>
      </c>
      <c r="X8">
        <v>1</v>
      </c>
      <c r="Y8">
        <v>0</v>
      </c>
      <c r="Z8">
        <v>1</v>
      </c>
      <c r="AA8">
        <v>1</v>
      </c>
      <c r="AB8">
        <v>0</v>
      </c>
      <c r="AC8">
        <v>0</v>
      </c>
      <c r="AD8">
        <v>0</v>
      </c>
      <c r="AE8">
        <v>0</v>
      </c>
      <c r="AF8">
        <v>0</v>
      </c>
      <c r="AG8">
        <v>0</v>
      </c>
      <c r="AH8">
        <v>0</v>
      </c>
      <c r="AI8">
        <v>0</v>
      </c>
      <c r="AJ8">
        <v>0</v>
      </c>
      <c r="AK8">
        <v>1</v>
      </c>
      <c r="AL8">
        <v>0</v>
      </c>
      <c r="AM8">
        <v>1</v>
      </c>
      <c r="AN8">
        <v>0</v>
      </c>
      <c r="AO8">
        <v>0</v>
      </c>
      <c r="AP8">
        <v>0</v>
      </c>
      <c r="AQ8">
        <v>0</v>
      </c>
      <c r="AR8">
        <v>0</v>
      </c>
      <c r="AS8">
        <v>1</v>
      </c>
      <c r="AT8">
        <v>0</v>
      </c>
      <c r="AU8">
        <v>0</v>
      </c>
      <c r="AV8">
        <v>1</v>
      </c>
      <c r="AW8">
        <f>SUM(Table112[[#This Row],[ALU]]:Table112[[#This Row],[REE]])</f>
        <v>11</v>
      </c>
    </row>
    <row r="9" spans="1:49">
      <c r="A9" t="s">
        <v>648</v>
      </c>
      <c r="B9" t="str">
        <f>VLOOKUP(Table112[[#This Row],[Country Code]],Table10[[ISO3]:[Continent]],2,FALSE)</f>
        <v>South America</v>
      </c>
      <c r="C9">
        <v>0</v>
      </c>
      <c r="D9">
        <v>0</v>
      </c>
      <c r="E9">
        <v>1</v>
      </c>
      <c r="F9">
        <v>0</v>
      </c>
      <c r="G9">
        <v>0</v>
      </c>
      <c r="H9">
        <v>1</v>
      </c>
      <c r="I9">
        <v>0</v>
      </c>
      <c r="J9">
        <v>0</v>
      </c>
      <c r="K9">
        <v>0</v>
      </c>
      <c r="L9">
        <v>0</v>
      </c>
      <c r="M9">
        <v>1</v>
      </c>
      <c r="N9">
        <v>0</v>
      </c>
      <c r="O9">
        <v>0</v>
      </c>
      <c r="P9">
        <v>0</v>
      </c>
      <c r="Q9">
        <v>0</v>
      </c>
      <c r="R9">
        <v>0</v>
      </c>
      <c r="S9">
        <v>1</v>
      </c>
      <c r="T9">
        <v>0</v>
      </c>
      <c r="U9">
        <v>1</v>
      </c>
      <c r="V9">
        <v>0</v>
      </c>
      <c r="W9">
        <v>0</v>
      </c>
      <c r="X9">
        <v>0</v>
      </c>
      <c r="Y9">
        <v>0</v>
      </c>
      <c r="Z9">
        <v>0</v>
      </c>
      <c r="AA9">
        <v>0</v>
      </c>
      <c r="AB9">
        <v>0</v>
      </c>
      <c r="AC9">
        <v>0</v>
      </c>
      <c r="AD9">
        <v>0</v>
      </c>
      <c r="AE9">
        <v>0</v>
      </c>
      <c r="AF9">
        <v>1</v>
      </c>
      <c r="AG9">
        <v>0</v>
      </c>
      <c r="AH9">
        <v>0</v>
      </c>
      <c r="AI9">
        <v>0</v>
      </c>
      <c r="AJ9">
        <v>0</v>
      </c>
      <c r="AK9">
        <v>0</v>
      </c>
      <c r="AL9">
        <v>1</v>
      </c>
      <c r="AM9">
        <v>0</v>
      </c>
      <c r="AN9">
        <v>1</v>
      </c>
      <c r="AO9">
        <v>1</v>
      </c>
      <c r="AP9">
        <v>0</v>
      </c>
      <c r="AQ9">
        <v>0</v>
      </c>
      <c r="AR9">
        <v>0</v>
      </c>
      <c r="AS9">
        <v>0</v>
      </c>
      <c r="AT9">
        <v>1</v>
      </c>
      <c r="AU9">
        <v>0</v>
      </c>
      <c r="AV9">
        <v>0</v>
      </c>
      <c r="AW9">
        <f>SUM(Table112[[#This Row],[ALU]]:Table112[[#This Row],[REE]])</f>
        <v>10</v>
      </c>
    </row>
    <row r="10" spans="1:49">
      <c r="A10" t="s">
        <v>587</v>
      </c>
      <c r="B10" t="str">
        <f>VLOOKUP(Table112[[#This Row],[Country Code]],Table10[[ISO3]:[Continent]],2,FALSE)</f>
        <v>Asia</v>
      </c>
      <c r="C10">
        <v>1</v>
      </c>
      <c r="D10">
        <v>0</v>
      </c>
      <c r="E10">
        <v>0</v>
      </c>
      <c r="F10">
        <v>1</v>
      </c>
      <c r="G10">
        <v>0</v>
      </c>
      <c r="H10">
        <v>0</v>
      </c>
      <c r="I10">
        <v>0</v>
      </c>
      <c r="J10">
        <v>0</v>
      </c>
      <c r="K10">
        <v>1</v>
      </c>
      <c r="L10">
        <v>0</v>
      </c>
      <c r="M10">
        <v>0</v>
      </c>
      <c r="N10">
        <v>0</v>
      </c>
      <c r="O10">
        <v>0</v>
      </c>
      <c r="P10">
        <v>0</v>
      </c>
      <c r="Q10">
        <v>1</v>
      </c>
      <c r="R10">
        <v>1</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1</v>
      </c>
      <c r="AQ10">
        <v>0</v>
      </c>
      <c r="AR10">
        <v>0</v>
      </c>
      <c r="AS10">
        <v>0</v>
      </c>
      <c r="AT10">
        <v>1</v>
      </c>
      <c r="AU10">
        <v>1</v>
      </c>
      <c r="AV10">
        <v>1</v>
      </c>
      <c r="AW10">
        <f>SUM(Table112[[#This Row],[ALU]]:Table112[[#This Row],[REE]])</f>
        <v>9</v>
      </c>
    </row>
    <row r="11" spans="1:49">
      <c r="A11" t="s">
        <v>530</v>
      </c>
      <c r="B11" t="str">
        <f>VLOOKUP(Table112[[#This Row],[Country Code]],Table10[[ISO3]:[Continent]],2,FALSE)</f>
        <v>South America</v>
      </c>
      <c r="C11">
        <v>0</v>
      </c>
      <c r="D11">
        <v>1</v>
      </c>
      <c r="E11">
        <v>0</v>
      </c>
      <c r="F11">
        <v>0</v>
      </c>
      <c r="G11">
        <v>0</v>
      </c>
      <c r="H11">
        <v>1</v>
      </c>
      <c r="I11">
        <v>0</v>
      </c>
      <c r="J11">
        <v>0</v>
      </c>
      <c r="K11">
        <v>0</v>
      </c>
      <c r="L11">
        <v>0</v>
      </c>
      <c r="M11">
        <v>0</v>
      </c>
      <c r="N11">
        <v>0</v>
      </c>
      <c r="O11">
        <v>0</v>
      </c>
      <c r="P11">
        <v>0</v>
      </c>
      <c r="Q11">
        <v>0</v>
      </c>
      <c r="R11">
        <v>0</v>
      </c>
      <c r="S11">
        <v>1</v>
      </c>
      <c r="T11">
        <v>0</v>
      </c>
      <c r="U11">
        <v>0</v>
      </c>
      <c r="V11">
        <v>1</v>
      </c>
      <c r="W11">
        <v>0</v>
      </c>
      <c r="X11">
        <v>0</v>
      </c>
      <c r="Y11">
        <v>0</v>
      </c>
      <c r="Z11">
        <v>0</v>
      </c>
      <c r="AA11">
        <v>0</v>
      </c>
      <c r="AB11">
        <v>0</v>
      </c>
      <c r="AC11">
        <v>0</v>
      </c>
      <c r="AD11">
        <v>0</v>
      </c>
      <c r="AE11">
        <v>0</v>
      </c>
      <c r="AF11">
        <v>0</v>
      </c>
      <c r="AG11">
        <v>0</v>
      </c>
      <c r="AH11">
        <v>0</v>
      </c>
      <c r="AI11">
        <v>0</v>
      </c>
      <c r="AJ11">
        <v>0</v>
      </c>
      <c r="AK11">
        <v>0</v>
      </c>
      <c r="AL11">
        <v>0</v>
      </c>
      <c r="AM11">
        <v>0</v>
      </c>
      <c r="AN11">
        <v>0</v>
      </c>
      <c r="AO11">
        <v>1</v>
      </c>
      <c r="AP11">
        <v>0</v>
      </c>
      <c r="AQ11">
        <v>1</v>
      </c>
      <c r="AR11">
        <v>0</v>
      </c>
      <c r="AS11">
        <v>0</v>
      </c>
      <c r="AT11">
        <v>0</v>
      </c>
      <c r="AU11">
        <v>0</v>
      </c>
      <c r="AV11">
        <v>0</v>
      </c>
      <c r="AW11">
        <f>SUM(Table112[[#This Row],[ALU]]:Table112[[#This Row],[REE]])</f>
        <v>6</v>
      </c>
    </row>
    <row r="12" spans="1:49">
      <c r="A12" t="s">
        <v>622</v>
      </c>
      <c r="B12" t="str">
        <f>VLOOKUP(Table112[[#This Row],[Country Code]],Table10[[ISO3]:[Continent]],2,FALSE)</f>
        <v>North America</v>
      </c>
      <c r="C12">
        <v>0</v>
      </c>
      <c r="D12">
        <v>0</v>
      </c>
      <c r="E12">
        <v>1</v>
      </c>
      <c r="F12">
        <v>0</v>
      </c>
      <c r="G12">
        <v>0</v>
      </c>
      <c r="H12">
        <v>1</v>
      </c>
      <c r="I12">
        <v>0</v>
      </c>
      <c r="J12">
        <v>0</v>
      </c>
      <c r="K12">
        <v>0</v>
      </c>
      <c r="L12">
        <v>0</v>
      </c>
      <c r="M12">
        <v>0</v>
      </c>
      <c r="N12">
        <v>1</v>
      </c>
      <c r="O12">
        <v>0</v>
      </c>
      <c r="P12">
        <v>0</v>
      </c>
      <c r="Q12">
        <v>0</v>
      </c>
      <c r="R12">
        <v>0</v>
      </c>
      <c r="S12">
        <v>0</v>
      </c>
      <c r="T12">
        <v>0</v>
      </c>
      <c r="U12">
        <v>1</v>
      </c>
      <c r="V12">
        <v>0</v>
      </c>
      <c r="W12">
        <v>0</v>
      </c>
      <c r="X12">
        <v>0</v>
      </c>
      <c r="Y12">
        <v>0</v>
      </c>
      <c r="Z12">
        <v>0</v>
      </c>
      <c r="AA12">
        <v>0</v>
      </c>
      <c r="AB12">
        <v>0</v>
      </c>
      <c r="AC12">
        <v>0</v>
      </c>
      <c r="AD12">
        <v>0</v>
      </c>
      <c r="AE12">
        <v>0</v>
      </c>
      <c r="AF12">
        <v>0</v>
      </c>
      <c r="AG12">
        <v>0</v>
      </c>
      <c r="AH12">
        <v>0</v>
      </c>
      <c r="AI12">
        <v>0</v>
      </c>
      <c r="AJ12">
        <v>0</v>
      </c>
      <c r="AK12">
        <v>0</v>
      </c>
      <c r="AL12">
        <v>1</v>
      </c>
      <c r="AM12">
        <v>0</v>
      </c>
      <c r="AN12">
        <v>0</v>
      </c>
      <c r="AO12">
        <v>0</v>
      </c>
      <c r="AP12">
        <v>0</v>
      </c>
      <c r="AQ12">
        <v>0</v>
      </c>
      <c r="AR12">
        <v>0</v>
      </c>
      <c r="AS12">
        <v>0</v>
      </c>
      <c r="AT12">
        <v>1</v>
      </c>
      <c r="AU12">
        <v>0</v>
      </c>
      <c r="AV12">
        <v>0</v>
      </c>
      <c r="AW12">
        <f>SUM(Table112[[#This Row],[ALU]]:Table112[[#This Row],[REE]])</f>
        <v>6</v>
      </c>
    </row>
    <row r="13" spans="1:49">
      <c r="A13" t="s">
        <v>704</v>
      </c>
      <c r="B13" t="str">
        <f>VLOOKUP(Table112[[#This Row],[Country Code]],Table10[[ISO3]:[Continent]],2,FALSE)</f>
        <v>Africa</v>
      </c>
      <c r="C13">
        <v>0</v>
      </c>
      <c r="D13">
        <v>0</v>
      </c>
      <c r="E13">
        <v>0</v>
      </c>
      <c r="F13">
        <v>0</v>
      </c>
      <c r="G13">
        <v>0</v>
      </c>
      <c r="H13">
        <v>0</v>
      </c>
      <c r="I13">
        <v>0</v>
      </c>
      <c r="J13">
        <v>1</v>
      </c>
      <c r="K13">
        <v>0</v>
      </c>
      <c r="L13">
        <v>0</v>
      </c>
      <c r="M13">
        <v>0</v>
      </c>
      <c r="N13">
        <v>0</v>
      </c>
      <c r="O13">
        <v>0</v>
      </c>
      <c r="P13">
        <v>0</v>
      </c>
      <c r="Q13">
        <v>0</v>
      </c>
      <c r="R13">
        <v>0</v>
      </c>
      <c r="S13">
        <v>0</v>
      </c>
      <c r="T13">
        <v>1</v>
      </c>
      <c r="U13">
        <v>0</v>
      </c>
      <c r="V13">
        <v>0</v>
      </c>
      <c r="W13">
        <v>0</v>
      </c>
      <c r="X13">
        <v>0</v>
      </c>
      <c r="Y13">
        <v>0</v>
      </c>
      <c r="Z13">
        <v>0</v>
      </c>
      <c r="AA13">
        <v>0</v>
      </c>
      <c r="AB13">
        <v>0</v>
      </c>
      <c r="AC13">
        <v>0</v>
      </c>
      <c r="AD13">
        <v>1</v>
      </c>
      <c r="AE13">
        <v>0</v>
      </c>
      <c r="AF13">
        <v>0</v>
      </c>
      <c r="AG13">
        <v>1</v>
      </c>
      <c r="AH13">
        <v>1</v>
      </c>
      <c r="AI13">
        <v>1</v>
      </c>
      <c r="AJ13">
        <v>0</v>
      </c>
      <c r="AK13">
        <v>0</v>
      </c>
      <c r="AL13">
        <v>0</v>
      </c>
      <c r="AM13">
        <v>0</v>
      </c>
      <c r="AN13">
        <v>0</v>
      </c>
      <c r="AO13">
        <v>0</v>
      </c>
      <c r="AP13">
        <v>0</v>
      </c>
      <c r="AQ13">
        <v>0</v>
      </c>
      <c r="AR13">
        <v>0</v>
      </c>
      <c r="AS13">
        <v>0</v>
      </c>
      <c r="AT13">
        <v>0</v>
      </c>
      <c r="AU13">
        <v>0</v>
      </c>
      <c r="AV13">
        <v>0</v>
      </c>
      <c r="AW13">
        <f>SUM(Table112[[#This Row],[ALU]]:Table112[[#This Row],[REE]])</f>
        <v>6</v>
      </c>
    </row>
    <row r="14" spans="1:49">
      <c r="A14" t="s">
        <v>544</v>
      </c>
      <c r="B14" t="str">
        <f>VLOOKUP(Table112[[#This Row],[Country Code]],Table10[[ISO3]:[Continent]],2,FALSE)</f>
        <v>South America</v>
      </c>
      <c r="C14">
        <v>0</v>
      </c>
      <c r="D14">
        <v>0</v>
      </c>
      <c r="E14">
        <v>0</v>
      </c>
      <c r="F14">
        <v>0</v>
      </c>
      <c r="G14">
        <v>0</v>
      </c>
      <c r="H14">
        <v>0</v>
      </c>
      <c r="I14">
        <v>1</v>
      </c>
      <c r="J14">
        <v>0</v>
      </c>
      <c r="K14">
        <v>0</v>
      </c>
      <c r="L14">
        <v>0</v>
      </c>
      <c r="M14">
        <v>1</v>
      </c>
      <c r="N14">
        <v>0</v>
      </c>
      <c r="O14">
        <v>0</v>
      </c>
      <c r="P14">
        <v>0</v>
      </c>
      <c r="Q14">
        <v>0</v>
      </c>
      <c r="R14">
        <v>0</v>
      </c>
      <c r="S14">
        <v>0</v>
      </c>
      <c r="T14">
        <v>0</v>
      </c>
      <c r="U14">
        <v>0</v>
      </c>
      <c r="V14">
        <v>1</v>
      </c>
      <c r="W14">
        <v>0</v>
      </c>
      <c r="X14">
        <v>0</v>
      </c>
      <c r="Y14">
        <v>0</v>
      </c>
      <c r="Z14">
        <v>0</v>
      </c>
      <c r="AA14">
        <v>0</v>
      </c>
      <c r="AB14">
        <v>0</v>
      </c>
      <c r="AC14">
        <v>0</v>
      </c>
      <c r="AD14">
        <v>0</v>
      </c>
      <c r="AE14">
        <v>0</v>
      </c>
      <c r="AF14">
        <v>1</v>
      </c>
      <c r="AG14">
        <v>0</v>
      </c>
      <c r="AH14">
        <v>0</v>
      </c>
      <c r="AI14">
        <v>0</v>
      </c>
      <c r="AJ14">
        <v>0</v>
      </c>
      <c r="AK14">
        <v>0</v>
      </c>
      <c r="AL14">
        <v>1</v>
      </c>
      <c r="AM14">
        <v>0</v>
      </c>
      <c r="AN14">
        <v>0</v>
      </c>
      <c r="AO14">
        <v>0</v>
      </c>
      <c r="AP14">
        <v>0</v>
      </c>
      <c r="AQ14">
        <v>0</v>
      </c>
      <c r="AR14">
        <v>0</v>
      </c>
      <c r="AS14">
        <v>0</v>
      </c>
      <c r="AT14">
        <v>0</v>
      </c>
      <c r="AU14">
        <v>0</v>
      </c>
      <c r="AV14">
        <v>0</v>
      </c>
      <c r="AW14">
        <f>SUM(Table112[[#This Row],[ALU]]:Table112[[#This Row],[REE]])</f>
        <v>5</v>
      </c>
    </row>
    <row r="15" spans="1:49">
      <c r="A15" t="s">
        <v>597</v>
      </c>
      <c r="B15" t="str">
        <f>VLOOKUP(Table112[[#This Row],[Country Code]],Table10[[ISO3]:[Continent]],2,FALSE)</f>
        <v>Asia</v>
      </c>
      <c r="C15">
        <v>0</v>
      </c>
      <c r="D15">
        <v>0</v>
      </c>
      <c r="E15">
        <v>0</v>
      </c>
      <c r="F15">
        <v>1</v>
      </c>
      <c r="G15">
        <v>0</v>
      </c>
      <c r="H15">
        <v>0</v>
      </c>
      <c r="I15">
        <v>0</v>
      </c>
      <c r="J15">
        <v>0</v>
      </c>
      <c r="K15">
        <v>1</v>
      </c>
      <c r="L15">
        <v>0</v>
      </c>
      <c r="M15">
        <v>0</v>
      </c>
      <c r="N15">
        <v>0</v>
      </c>
      <c r="O15">
        <v>1</v>
      </c>
      <c r="P15">
        <v>0</v>
      </c>
      <c r="Q15">
        <v>0</v>
      </c>
      <c r="R15">
        <v>0</v>
      </c>
      <c r="S15">
        <v>0</v>
      </c>
      <c r="T15">
        <v>0</v>
      </c>
      <c r="U15">
        <v>0</v>
      </c>
      <c r="V15">
        <v>0</v>
      </c>
      <c r="W15">
        <v>0</v>
      </c>
      <c r="X15">
        <v>0</v>
      </c>
      <c r="Y15">
        <v>0</v>
      </c>
      <c r="Z15">
        <v>0</v>
      </c>
      <c r="AA15">
        <v>0</v>
      </c>
      <c r="AB15">
        <v>0</v>
      </c>
      <c r="AC15">
        <v>0</v>
      </c>
      <c r="AD15">
        <v>0</v>
      </c>
      <c r="AE15">
        <v>0</v>
      </c>
      <c r="AF15">
        <v>1</v>
      </c>
      <c r="AG15">
        <v>0</v>
      </c>
      <c r="AH15">
        <v>0</v>
      </c>
      <c r="AI15">
        <v>0</v>
      </c>
      <c r="AJ15">
        <v>0</v>
      </c>
      <c r="AK15">
        <v>0</v>
      </c>
      <c r="AL15">
        <v>0</v>
      </c>
      <c r="AM15">
        <v>0</v>
      </c>
      <c r="AN15">
        <v>0</v>
      </c>
      <c r="AO15">
        <v>0</v>
      </c>
      <c r="AP15">
        <v>0</v>
      </c>
      <c r="AQ15">
        <v>0</v>
      </c>
      <c r="AR15">
        <v>1</v>
      </c>
      <c r="AS15">
        <v>0</v>
      </c>
      <c r="AT15">
        <v>0</v>
      </c>
      <c r="AU15">
        <v>0</v>
      </c>
      <c r="AV15">
        <v>0</v>
      </c>
      <c r="AW15">
        <f>SUM(Table112[[#This Row],[ALU]]:Table112[[#This Row],[REE]])</f>
        <v>5</v>
      </c>
    </row>
    <row r="16" spans="1:49">
      <c r="A16" t="s">
        <v>629</v>
      </c>
      <c r="B16" t="str">
        <f>VLOOKUP(Table112[[#This Row],[Country Code]],Table10[[ISO3]:[Continent]],2,FALSE)</f>
        <v>Africa</v>
      </c>
      <c r="C16">
        <v>0</v>
      </c>
      <c r="D16">
        <v>0</v>
      </c>
      <c r="E16">
        <v>0</v>
      </c>
      <c r="F16">
        <v>0</v>
      </c>
      <c r="G16">
        <v>1</v>
      </c>
      <c r="H16">
        <v>0</v>
      </c>
      <c r="I16">
        <v>0</v>
      </c>
      <c r="J16">
        <v>0</v>
      </c>
      <c r="K16">
        <v>0</v>
      </c>
      <c r="L16">
        <v>0</v>
      </c>
      <c r="M16">
        <v>0</v>
      </c>
      <c r="N16">
        <v>0</v>
      </c>
      <c r="O16">
        <v>0</v>
      </c>
      <c r="P16">
        <v>0</v>
      </c>
      <c r="Q16">
        <v>1</v>
      </c>
      <c r="R16">
        <v>1</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1</v>
      </c>
      <c r="AQ16">
        <v>0</v>
      </c>
      <c r="AR16">
        <v>0</v>
      </c>
      <c r="AS16">
        <v>0</v>
      </c>
      <c r="AT16">
        <v>0</v>
      </c>
      <c r="AU16">
        <v>1</v>
      </c>
      <c r="AV16">
        <v>0</v>
      </c>
      <c r="AW16">
        <f>SUM(Table112[[#This Row],[ALU]]:Table112[[#This Row],[REE]])</f>
        <v>5</v>
      </c>
    </row>
    <row r="17" spans="1:49">
      <c r="A17" t="s">
        <v>548</v>
      </c>
      <c r="B17" t="str">
        <f>VLOOKUP(Table112[[#This Row],[Country Code]],Table10[[ISO3]:[Continent]],2,FALSE)</f>
        <v>Africa</v>
      </c>
      <c r="C17">
        <v>0</v>
      </c>
      <c r="D17">
        <v>0</v>
      </c>
      <c r="E17">
        <v>0</v>
      </c>
      <c r="F17">
        <v>0</v>
      </c>
      <c r="G17">
        <v>0</v>
      </c>
      <c r="H17">
        <v>0</v>
      </c>
      <c r="I17">
        <v>0</v>
      </c>
      <c r="J17">
        <v>0</v>
      </c>
      <c r="K17">
        <v>0</v>
      </c>
      <c r="L17">
        <v>1</v>
      </c>
      <c r="M17">
        <v>1</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1</v>
      </c>
      <c r="AN17">
        <v>0</v>
      </c>
      <c r="AO17">
        <v>1</v>
      </c>
      <c r="AP17">
        <v>0</v>
      </c>
      <c r="AQ17">
        <v>0</v>
      </c>
      <c r="AR17">
        <v>0</v>
      </c>
      <c r="AS17">
        <v>0</v>
      </c>
      <c r="AT17">
        <v>0</v>
      </c>
      <c r="AU17">
        <v>0</v>
      </c>
      <c r="AV17">
        <v>0</v>
      </c>
      <c r="AW17">
        <f>SUM(Table112[[#This Row],[ALU]]:Table112[[#This Row],[REE]])</f>
        <v>4</v>
      </c>
    </row>
    <row r="18" spans="1:49">
      <c r="A18" t="s">
        <v>613</v>
      </c>
      <c r="B18" t="str">
        <f>VLOOKUP(Table112[[#This Row],[Country Code]],Table10[[ISO3]:[Continent]],2,FALSE)</f>
        <v>Africa</v>
      </c>
      <c r="C18">
        <v>0</v>
      </c>
      <c r="D18">
        <v>0</v>
      </c>
      <c r="E18">
        <v>0</v>
      </c>
      <c r="F18">
        <v>0</v>
      </c>
      <c r="G18">
        <v>1</v>
      </c>
      <c r="H18">
        <v>0</v>
      </c>
      <c r="I18">
        <v>0</v>
      </c>
      <c r="J18">
        <v>0</v>
      </c>
      <c r="K18">
        <v>0</v>
      </c>
      <c r="L18">
        <v>0</v>
      </c>
      <c r="M18">
        <v>0</v>
      </c>
      <c r="N18">
        <v>0</v>
      </c>
      <c r="O18">
        <v>0</v>
      </c>
      <c r="P18">
        <v>0</v>
      </c>
      <c r="Q18">
        <v>1</v>
      </c>
      <c r="R18">
        <v>0</v>
      </c>
      <c r="S18">
        <v>0</v>
      </c>
      <c r="T18">
        <v>0</v>
      </c>
      <c r="U18">
        <v>0</v>
      </c>
      <c r="V18">
        <v>0</v>
      </c>
      <c r="W18">
        <v>0</v>
      </c>
      <c r="X18">
        <v>0</v>
      </c>
      <c r="Y18">
        <v>0</v>
      </c>
      <c r="Z18">
        <v>0</v>
      </c>
      <c r="AA18">
        <v>0</v>
      </c>
      <c r="AB18">
        <v>0</v>
      </c>
      <c r="AC18">
        <v>0</v>
      </c>
      <c r="AD18">
        <v>0</v>
      </c>
      <c r="AE18">
        <v>0</v>
      </c>
      <c r="AF18">
        <v>0</v>
      </c>
      <c r="AG18">
        <v>0</v>
      </c>
      <c r="AH18">
        <v>0</v>
      </c>
      <c r="AI18">
        <v>0</v>
      </c>
      <c r="AJ18">
        <v>1</v>
      </c>
      <c r="AK18">
        <v>0</v>
      </c>
      <c r="AL18">
        <v>0</v>
      </c>
      <c r="AM18">
        <v>0</v>
      </c>
      <c r="AN18">
        <v>0</v>
      </c>
      <c r="AO18">
        <v>0</v>
      </c>
      <c r="AP18">
        <v>0</v>
      </c>
      <c r="AQ18">
        <v>0</v>
      </c>
      <c r="AR18">
        <v>0</v>
      </c>
      <c r="AS18">
        <v>0</v>
      </c>
      <c r="AT18">
        <v>0</v>
      </c>
      <c r="AU18">
        <v>0</v>
      </c>
      <c r="AV18">
        <v>1</v>
      </c>
      <c r="AW18">
        <f>SUM(Table112[[#This Row],[ALU]]:Table112[[#This Row],[REE]])</f>
        <v>4</v>
      </c>
    </row>
    <row r="19" spans="1:49">
      <c r="A19" t="s">
        <v>690</v>
      </c>
      <c r="B19" t="str">
        <f>VLOOKUP(Table112[[#This Row],[Country Code]],Table10[[ISO3]:[Continent]],2,FALSE)</f>
        <v>Asia</v>
      </c>
      <c r="C19">
        <v>0</v>
      </c>
      <c r="D19">
        <v>1</v>
      </c>
      <c r="E19">
        <v>0</v>
      </c>
      <c r="F19">
        <v>0</v>
      </c>
      <c r="G19">
        <v>0</v>
      </c>
      <c r="H19">
        <v>0</v>
      </c>
      <c r="I19">
        <v>1</v>
      </c>
      <c r="J19">
        <v>0</v>
      </c>
      <c r="K19">
        <v>1</v>
      </c>
      <c r="L19">
        <v>0</v>
      </c>
      <c r="M19">
        <v>0</v>
      </c>
      <c r="N19">
        <v>0</v>
      </c>
      <c r="O19">
        <v>0</v>
      </c>
      <c r="P19">
        <v>0</v>
      </c>
      <c r="Q19">
        <v>0</v>
      </c>
      <c r="R19">
        <v>0</v>
      </c>
      <c r="S19">
        <v>0</v>
      </c>
      <c r="T19">
        <v>0</v>
      </c>
      <c r="U19">
        <v>0</v>
      </c>
      <c r="V19">
        <v>0</v>
      </c>
      <c r="W19">
        <v>1</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f>SUM(Table112[[#This Row],[ALU]]:Table112[[#This Row],[REE]])</f>
        <v>4</v>
      </c>
    </row>
    <row r="20" spans="1:49">
      <c r="A20" t="s">
        <v>701</v>
      </c>
      <c r="B20" t="str">
        <f>VLOOKUP(Table112[[#This Row],[Country Code]],Table10[[ISO3]:[Continent]],2,FALSE)</f>
        <v>Asia</v>
      </c>
      <c r="C20">
        <v>1</v>
      </c>
      <c r="D20">
        <v>0</v>
      </c>
      <c r="E20">
        <v>0</v>
      </c>
      <c r="F20">
        <v>0</v>
      </c>
      <c r="G20">
        <v>0</v>
      </c>
      <c r="H20">
        <v>1</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1</v>
      </c>
      <c r="AR20">
        <v>0</v>
      </c>
      <c r="AS20">
        <v>0</v>
      </c>
      <c r="AT20">
        <v>0</v>
      </c>
      <c r="AU20">
        <v>0</v>
      </c>
      <c r="AV20">
        <v>1</v>
      </c>
      <c r="AW20">
        <f>SUM(Table112[[#This Row],[ALU]]:Table112[[#This Row],[REE]])</f>
        <v>4</v>
      </c>
    </row>
    <row r="21" spans="1:49">
      <c r="A21" t="s">
        <v>588</v>
      </c>
      <c r="B21" t="str">
        <f>VLOOKUP(Table112[[#This Row],[Country Code]],Table10[[ISO3]:[Continent]],2,FALSE)</f>
        <v>Asia</v>
      </c>
      <c r="C21">
        <v>0</v>
      </c>
      <c r="D21">
        <v>0</v>
      </c>
      <c r="E21">
        <v>0</v>
      </c>
      <c r="F21">
        <v>0</v>
      </c>
      <c r="G21">
        <v>0</v>
      </c>
      <c r="H21">
        <v>0</v>
      </c>
      <c r="I21">
        <v>0</v>
      </c>
      <c r="J21">
        <v>0</v>
      </c>
      <c r="K21">
        <v>0</v>
      </c>
      <c r="L21">
        <v>1</v>
      </c>
      <c r="M21">
        <v>0</v>
      </c>
      <c r="N21">
        <v>0</v>
      </c>
      <c r="O21">
        <v>0</v>
      </c>
      <c r="P21">
        <v>0</v>
      </c>
      <c r="Q21">
        <v>0</v>
      </c>
      <c r="R21">
        <v>0</v>
      </c>
      <c r="S21">
        <v>0</v>
      </c>
      <c r="T21">
        <v>0</v>
      </c>
      <c r="U21">
        <v>0</v>
      </c>
      <c r="V21">
        <v>0</v>
      </c>
      <c r="W21">
        <v>0</v>
      </c>
      <c r="X21">
        <v>0</v>
      </c>
      <c r="Y21">
        <v>0</v>
      </c>
      <c r="Z21">
        <v>1</v>
      </c>
      <c r="AA21">
        <v>0</v>
      </c>
      <c r="AB21">
        <v>0</v>
      </c>
      <c r="AC21">
        <v>0</v>
      </c>
      <c r="AD21">
        <v>0</v>
      </c>
      <c r="AE21">
        <v>0</v>
      </c>
      <c r="AF21">
        <v>0</v>
      </c>
      <c r="AG21">
        <v>0</v>
      </c>
      <c r="AH21">
        <v>0</v>
      </c>
      <c r="AI21">
        <v>0</v>
      </c>
      <c r="AJ21">
        <v>0</v>
      </c>
      <c r="AK21">
        <v>0</v>
      </c>
      <c r="AL21">
        <v>0</v>
      </c>
      <c r="AM21">
        <v>0</v>
      </c>
      <c r="AN21">
        <v>0</v>
      </c>
      <c r="AO21">
        <v>1</v>
      </c>
      <c r="AP21">
        <v>0</v>
      </c>
      <c r="AQ21">
        <v>0</v>
      </c>
      <c r="AR21">
        <v>0</v>
      </c>
      <c r="AS21">
        <v>0</v>
      </c>
      <c r="AT21">
        <v>0</v>
      </c>
      <c r="AU21">
        <v>0</v>
      </c>
      <c r="AV21">
        <v>0</v>
      </c>
      <c r="AW21">
        <f>SUM(Table112[[#This Row],[ALU]]:Table112[[#This Row],[REE]])</f>
        <v>3</v>
      </c>
    </row>
    <row r="22" spans="1:49">
      <c r="A22" t="s">
        <v>628</v>
      </c>
      <c r="B22" t="str">
        <f>VLOOKUP(Table112[[#This Row],[Country Code]],Table10[[ISO3]:[Continent]],2,FALSE)</f>
        <v>Africa</v>
      </c>
      <c r="C22">
        <v>0</v>
      </c>
      <c r="D22">
        <v>0</v>
      </c>
      <c r="E22">
        <v>1</v>
      </c>
      <c r="F22">
        <v>1</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1</v>
      </c>
      <c r="AD22">
        <v>0</v>
      </c>
      <c r="AE22">
        <v>0</v>
      </c>
      <c r="AF22">
        <v>0</v>
      </c>
      <c r="AG22">
        <v>0</v>
      </c>
      <c r="AH22">
        <v>0</v>
      </c>
      <c r="AI22">
        <v>0</v>
      </c>
      <c r="AJ22">
        <v>0</v>
      </c>
      <c r="AK22">
        <v>0</v>
      </c>
      <c r="AL22">
        <v>0</v>
      </c>
      <c r="AM22">
        <v>0</v>
      </c>
      <c r="AN22">
        <v>0</v>
      </c>
      <c r="AO22">
        <v>0</v>
      </c>
      <c r="AP22">
        <v>0</v>
      </c>
      <c r="AQ22">
        <v>0</v>
      </c>
      <c r="AR22">
        <v>0</v>
      </c>
      <c r="AS22">
        <v>0</v>
      </c>
      <c r="AT22">
        <v>0</v>
      </c>
      <c r="AU22">
        <v>0</v>
      </c>
      <c r="AV22">
        <v>0</v>
      </c>
      <c r="AW22">
        <f>SUM(Table112[[#This Row],[ALU]]:Table112[[#This Row],[REE]])</f>
        <v>3</v>
      </c>
    </row>
    <row r="23" spans="1:49">
      <c r="A23" t="s">
        <v>631</v>
      </c>
      <c r="B23" t="str">
        <f>VLOOKUP(Table112[[#This Row],[Country Code]],Table10[[ISO3]:[Continent]],2,FALSE)</f>
        <v>Africa</v>
      </c>
      <c r="C23">
        <v>0</v>
      </c>
      <c r="D23">
        <v>0</v>
      </c>
      <c r="E23">
        <v>0</v>
      </c>
      <c r="F23">
        <v>0</v>
      </c>
      <c r="G23">
        <v>0</v>
      </c>
      <c r="H23">
        <v>0</v>
      </c>
      <c r="I23">
        <v>0</v>
      </c>
      <c r="J23">
        <v>1</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1</v>
      </c>
      <c r="AI23">
        <v>0</v>
      </c>
      <c r="AJ23">
        <v>0</v>
      </c>
      <c r="AK23">
        <v>0</v>
      </c>
      <c r="AL23">
        <v>0</v>
      </c>
      <c r="AM23">
        <v>0</v>
      </c>
      <c r="AN23">
        <v>0</v>
      </c>
      <c r="AO23">
        <v>0</v>
      </c>
      <c r="AP23">
        <v>0</v>
      </c>
      <c r="AQ23">
        <v>0</v>
      </c>
      <c r="AR23">
        <v>1</v>
      </c>
      <c r="AS23">
        <v>0</v>
      </c>
      <c r="AT23">
        <v>0</v>
      </c>
      <c r="AU23">
        <v>0</v>
      </c>
      <c r="AV23">
        <v>0</v>
      </c>
      <c r="AW23">
        <f>SUM(Table112[[#This Row],[ALU]]:Table112[[#This Row],[REE]])</f>
        <v>3</v>
      </c>
    </row>
    <row r="24" spans="1:49">
      <c r="A24" t="s">
        <v>516</v>
      </c>
      <c r="B24" t="str">
        <f>VLOOKUP(Table112[[#This Row],[Country Code]],Table10[[ISO3]:[Continent]],2,FALSE)</f>
        <v>South America</v>
      </c>
      <c r="C24">
        <v>0</v>
      </c>
      <c r="D24">
        <v>0</v>
      </c>
      <c r="E24">
        <v>0</v>
      </c>
      <c r="F24">
        <v>0</v>
      </c>
      <c r="G24">
        <v>0</v>
      </c>
      <c r="H24">
        <v>0</v>
      </c>
      <c r="I24">
        <v>1</v>
      </c>
      <c r="J24">
        <v>0</v>
      </c>
      <c r="K24">
        <v>0</v>
      </c>
      <c r="L24">
        <v>0</v>
      </c>
      <c r="M24">
        <v>0</v>
      </c>
      <c r="N24">
        <v>0</v>
      </c>
      <c r="O24">
        <v>0</v>
      </c>
      <c r="P24">
        <v>0</v>
      </c>
      <c r="Q24">
        <v>0</v>
      </c>
      <c r="R24">
        <v>0</v>
      </c>
      <c r="S24">
        <v>0</v>
      </c>
      <c r="T24">
        <v>0</v>
      </c>
      <c r="U24">
        <v>0</v>
      </c>
      <c r="V24">
        <v>1</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f>SUM(Table112[[#This Row],[ALU]]:Table112[[#This Row],[REE]])</f>
        <v>2</v>
      </c>
    </row>
    <row r="25" spans="1:49">
      <c r="A25" t="s">
        <v>574</v>
      </c>
      <c r="B25" t="str">
        <f>VLOOKUP(Table112[[#This Row],[Country Code]],Table10[[ISO3]:[Continent]],2,FALSE)</f>
        <v>Europe</v>
      </c>
      <c r="C25">
        <v>0</v>
      </c>
      <c r="D25">
        <v>0</v>
      </c>
      <c r="E25">
        <v>0</v>
      </c>
      <c r="F25">
        <v>0</v>
      </c>
      <c r="G25">
        <v>0</v>
      </c>
      <c r="H25">
        <v>0</v>
      </c>
      <c r="I25">
        <v>0</v>
      </c>
      <c r="J25">
        <v>0</v>
      </c>
      <c r="K25">
        <v>0</v>
      </c>
      <c r="L25">
        <v>0</v>
      </c>
      <c r="M25">
        <v>0</v>
      </c>
      <c r="N25">
        <v>0</v>
      </c>
      <c r="O25">
        <v>1</v>
      </c>
      <c r="P25">
        <v>0</v>
      </c>
      <c r="Q25">
        <v>0</v>
      </c>
      <c r="R25">
        <v>0</v>
      </c>
      <c r="S25">
        <v>0</v>
      </c>
      <c r="T25">
        <v>0</v>
      </c>
      <c r="U25">
        <v>0</v>
      </c>
      <c r="V25">
        <v>0</v>
      </c>
      <c r="W25">
        <v>0</v>
      </c>
      <c r="X25">
        <v>0</v>
      </c>
      <c r="Y25">
        <v>0</v>
      </c>
      <c r="Z25">
        <v>0</v>
      </c>
      <c r="AA25">
        <v>0</v>
      </c>
      <c r="AB25">
        <v>0</v>
      </c>
      <c r="AC25">
        <v>0</v>
      </c>
      <c r="AD25">
        <v>0</v>
      </c>
      <c r="AE25">
        <v>1</v>
      </c>
      <c r="AF25">
        <v>0</v>
      </c>
      <c r="AG25">
        <v>0</v>
      </c>
      <c r="AH25">
        <v>0</v>
      </c>
      <c r="AI25">
        <v>0</v>
      </c>
      <c r="AJ25">
        <v>0</v>
      </c>
      <c r="AK25">
        <v>0</v>
      </c>
      <c r="AL25">
        <v>0</v>
      </c>
      <c r="AM25">
        <v>0</v>
      </c>
      <c r="AN25">
        <v>0</v>
      </c>
      <c r="AO25">
        <v>0</v>
      </c>
      <c r="AP25">
        <v>0</v>
      </c>
      <c r="AQ25">
        <v>0</v>
      </c>
      <c r="AR25">
        <v>0</v>
      </c>
      <c r="AS25">
        <v>0</v>
      </c>
      <c r="AT25">
        <v>0</v>
      </c>
      <c r="AU25">
        <v>0</v>
      </c>
      <c r="AV25">
        <v>0</v>
      </c>
      <c r="AW25">
        <f>SUM(Table112[[#This Row],[ALU]]:Table112[[#This Row],[REE]])</f>
        <v>2</v>
      </c>
    </row>
    <row r="26" spans="1:49">
      <c r="A26" t="s">
        <v>626</v>
      </c>
      <c r="B26" t="str">
        <f>VLOOKUP(Table112[[#This Row],[Country Code]],Table10[[ISO3]:[Continent]],2,FALSE)</f>
        <v>Asia</v>
      </c>
      <c r="C26">
        <v>0</v>
      </c>
      <c r="D26">
        <v>0</v>
      </c>
      <c r="E26">
        <v>0</v>
      </c>
      <c r="F26">
        <v>0</v>
      </c>
      <c r="G26">
        <v>0</v>
      </c>
      <c r="H26">
        <v>0</v>
      </c>
      <c r="I26">
        <v>0</v>
      </c>
      <c r="J26">
        <v>0</v>
      </c>
      <c r="K26">
        <v>0</v>
      </c>
      <c r="L26">
        <v>0</v>
      </c>
      <c r="M26">
        <v>0</v>
      </c>
      <c r="N26">
        <v>1</v>
      </c>
      <c r="O26">
        <v>0</v>
      </c>
      <c r="P26">
        <v>0</v>
      </c>
      <c r="Q26">
        <v>0</v>
      </c>
      <c r="R26">
        <v>0</v>
      </c>
      <c r="S26">
        <v>0</v>
      </c>
      <c r="T26">
        <v>0</v>
      </c>
      <c r="U26">
        <v>0</v>
      </c>
      <c r="V26">
        <v>0</v>
      </c>
      <c r="W26">
        <v>0</v>
      </c>
      <c r="X26">
        <v>0</v>
      </c>
      <c r="Y26">
        <v>1</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f>SUM(Table112[[#This Row],[ALU]]:Table112[[#This Row],[REE]])</f>
        <v>2</v>
      </c>
    </row>
    <row r="27" spans="1:49">
      <c r="A27" t="s">
        <v>630</v>
      </c>
      <c r="B27" t="str">
        <f>VLOOKUP(Table112[[#This Row],[Country Code]],Table10[[ISO3]:[Continent]],2,FALSE)</f>
        <v>Asia</v>
      </c>
      <c r="C27">
        <v>0</v>
      </c>
      <c r="D27">
        <v>1</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1</v>
      </c>
      <c r="AP27">
        <v>0</v>
      </c>
      <c r="AQ27">
        <v>0</v>
      </c>
      <c r="AR27">
        <v>0</v>
      </c>
      <c r="AS27">
        <v>0</v>
      </c>
      <c r="AT27">
        <v>0</v>
      </c>
      <c r="AU27">
        <v>0</v>
      </c>
      <c r="AV27">
        <v>0</v>
      </c>
      <c r="AW27">
        <f>SUM(Table112[[#This Row],[ALU]]:Table112[[#This Row],[REE]])</f>
        <v>2</v>
      </c>
    </row>
    <row r="28" spans="1:49">
      <c r="A28" t="s">
        <v>649</v>
      </c>
      <c r="B28" t="str">
        <f>VLOOKUP(Table112[[#This Row],[Country Code]],Table10[[ISO3]:[Continent]],2,FALSE)</f>
        <v>Asia</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1</v>
      </c>
      <c r="AA28">
        <v>0</v>
      </c>
      <c r="AB28">
        <v>0</v>
      </c>
      <c r="AC28">
        <v>0</v>
      </c>
      <c r="AD28">
        <v>0</v>
      </c>
      <c r="AE28">
        <v>0</v>
      </c>
      <c r="AF28">
        <v>0</v>
      </c>
      <c r="AG28">
        <v>0</v>
      </c>
      <c r="AH28">
        <v>0</v>
      </c>
      <c r="AI28">
        <v>0</v>
      </c>
      <c r="AJ28">
        <v>1</v>
      </c>
      <c r="AK28">
        <v>0</v>
      </c>
      <c r="AL28">
        <v>0</v>
      </c>
      <c r="AM28">
        <v>0</v>
      </c>
      <c r="AN28">
        <v>0</v>
      </c>
      <c r="AO28">
        <v>0</v>
      </c>
      <c r="AP28">
        <v>0</v>
      </c>
      <c r="AQ28">
        <v>0</v>
      </c>
      <c r="AR28">
        <v>0</v>
      </c>
      <c r="AS28">
        <v>0</v>
      </c>
      <c r="AT28">
        <v>0</v>
      </c>
      <c r="AU28">
        <v>0</v>
      </c>
      <c r="AV28">
        <v>0</v>
      </c>
      <c r="AW28">
        <f>SUM(Table112[[#This Row],[ALU]]:Table112[[#This Row],[REE]])</f>
        <v>2</v>
      </c>
    </row>
    <row r="29" spans="1:49">
      <c r="A29" t="s">
        <v>650</v>
      </c>
      <c r="B29" t="str">
        <f>VLOOKUP(Table112[[#This Row],[Country Code]],Table10[[ISO3]:[Continent]],2,FALSE)</f>
        <v>Europe</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1</v>
      </c>
      <c r="AG29">
        <v>0</v>
      </c>
      <c r="AH29">
        <v>0</v>
      </c>
      <c r="AI29">
        <v>0</v>
      </c>
      <c r="AJ29">
        <v>0</v>
      </c>
      <c r="AK29">
        <v>0</v>
      </c>
      <c r="AL29">
        <v>1</v>
      </c>
      <c r="AM29">
        <v>0</v>
      </c>
      <c r="AN29">
        <v>0</v>
      </c>
      <c r="AO29">
        <v>0</v>
      </c>
      <c r="AP29">
        <v>0</v>
      </c>
      <c r="AQ29">
        <v>0</v>
      </c>
      <c r="AR29">
        <v>0</v>
      </c>
      <c r="AS29">
        <v>0</v>
      </c>
      <c r="AT29">
        <v>0</v>
      </c>
      <c r="AU29">
        <v>0</v>
      </c>
      <c r="AV29">
        <v>0</v>
      </c>
      <c r="AW29">
        <f>SUM(Table112[[#This Row],[ALU]]:Table112[[#This Row],[REE]])</f>
        <v>2</v>
      </c>
    </row>
    <row r="30" spans="1:49">
      <c r="A30" t="s">
        <v>655</v>
      </c>
      <c r="B30" t="str">
        <f>VLOOKUP(Table112[[#This Row],[Country Code]],Table10[[ISO3]:[Continent]],2,FALSE)</f>
        <v>Africa</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1</v>
      </c>
      <c r="AN30">
        <v>0</v>
      </c>
      <c r="AO30">
        <v>0</v>
      </c>
      <c r="AP30">
        <v>0</v>
      </c>
      <c r="AQ30">
        <v>1</v>
      </c>
      <c r="AR30">
        <v>0</v>
      </c>
      <c r="AS30">
        <v>0</v>
      </c>
      <c r="AT30">
        <v>0</v>
      </c>
      <c r="AU30">
        <v>0</v>
      </c>
      <c r="AV30">
        <v>0</v>
      </c>
      <c r="AW30">
        <f>SUM(Table112[[#This Row],[ALU]]:Table112[[#This Row],[REE]])</f>
        <v>2</v>
      </c>
    </row>
    <row r="31" spans="1:49">
      <c r="A31" t="s">
        <v>683</v>
      </c>
      <c r="B31" t="str">
        <f>VLOOKUP(Table112[[#This Row],[Country Code]],Table10[[ISO3]:[Continent]],2,FALSE)</f>
        <v>Africa</v>
      </c>
      <c r="C31">
        <v>0</v>
      </c>
      <c r="D31">
        <v>0</v>
      </c>
      <c r="E31">
        <v>0</v>
      </c>
      <c r="F31">
        <v>0</v>
      </c>
      <c r="G31">
        <v>0</v>
      </c>
      <c r="H31">
        <v>0</v>
      </c>
      <c r="I31">
        <v>0</v>
      </c>
      <c r="J31">
        <v>0</v>
      </c>
      <c r="K31">
        <v>0</v>
      </c>
      <c r="L31">
        <v>0</v>
      </c>
      <c r="M31">
        <v>0</v>
      </c>
      <c r="N31">
        <v>0</v>
      </c>
      <c r="O31">
        <v>0</v>
      </c>
      <c r="P31">
        <v>0</v>
      </c>
      <c r="Q31">
        <v>1</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1</v>
      </c>
      <c r="AW31">
        <f>SUM(Table112[[#This Row],[ALU]]:Table112[[#This Row],[REE]])</f>
        <v>2</v>
      </c>
    </row>
    <row r="32" spans="1:49">
      <c r="A32" t="s">
        <v>694</v>
      </c>
      <c r="B32" t="str">
        <f>VLOOKUP(Table112[[#This Row],[Country Code]],Table10[[ISO3]:[Continent]],2,FALSE)</f>
        <v>Europe</v>
      </c>
      <c r="C32">
        <v>0</v>
      </c>
      <c r="D32">
        <v>0</v>
      </c>
      <c r="E32">
        <v>0</v>
      </c>
      <c r="F32">
        <v>0</v>
      </c>
      <c r="G32">
        <v>0</v>
      </c>
      <c r="H32">
        <v>0</v>
      </c>
      <c r="I32">
        <v>0</v>
      </c>
      <c r="J32">
        <v>0</v>
      </c>
      <c r="K32">
        <v>0</v>
      </c>
      <c r="L32">
        <v>0</v>
      </c>
      <c r="M32">
        <v>0</v>
      </c>
      <c r="N32">
        <v>0</v>
      </c>
      <c r="O32">
        <v>1</v>
      </c>
      <c r="P32">
        <v>0</v>
      </c>
      <c r="Q32">
        <v>0</v>
      </c>
      <c r="R32">
        <v>0</v>
      </c>
      <c r="S32">
        <v>0</v>
      </c>
      <c r="T32">
        <v>0</v>
      </c>
      <c r="U32">
        <v>0</v>
      </c>
      <c r="V32">
        <v>0</v>
      </c>
      <c r="W32">
        <v>0</v>
      </c>
      <c r="X32">
        <v>1</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f>SUM(Table112[[#This Row],[ALU]]:Table112[[#This Row],[REE]])</f>
        <v>2</v>
      </c>
    </row>
    <row r="33" spans="1:49">
      <c r="A33" t="s">
        <v>525</v>
      </c>
      <c r="B33" t="str">
        <f>VLOOKUP(Table112[[#This Row],[Country Code]],Table10[[ISO3]:[Continent]],2,FALSE)</f>
        <v>Europe</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1</v>
      </c>
      <c r="AF33">
        <v>0</v>
      </c>
      <c r="AG33">
        <v>0</v>
      </c>
      <c r="AH33">
        <v>0</v>
      </c>
      <c r="AI33">
        <v>0</v>
      </c>
      <c r="AJ33">
        <v>0</v>
      </c>
      <c r="AK33">
        <v>0</v>
      </c>
      <c r="AL33">
        <v>0</v>
      </c>
      <c r="AM33">
        <v>0</v>
      </c>
      <c r="AN33">
        <v>0</v>
      </c>
      <c r="AO33">
        <v>0</v>
      </c>
      <c r="AP33">
        <v>0</v>
      </c>
      <c r="AQ33">
        <v>0</v>
      </c>
      <c r="AR33">
        <v>0</v>
      </c>
      <c r="AS33">
        <v>0</v>
      </c>
      <c r="AT33">
        <v>0</v>
      </c>
      <c r="AU33">
        <v>0</v>
      </c>
      <c r="AV33">
        <v>0</v>
      </c>
      <c r="AW33">
        <f>SUM(Table112[[#This Row],[ALU]]:Table112[[#This Row],[REE]])</f>
        <v>1</v>
      </c>
    </row>
    <row r="34" spans="1:49">
      <c r="A34" t="s">
        <v>526</v>
      </c>
      <c r="B34" t="str">
        <f>VLOOKUP(Table112[[#This Row],[Country Code]],Table10[[ISO3]:[Continent]],2,FALSE)</f>
        <v>Europe</v>
      </c>
      <c r="C34">
        <v>0</v>
      </c>
      <c r="D34">
        <v>0</v>
      </c>
      <c r="E34">
        <v>0</v>
      </c>
      <c r="F34">
        <v>0</v>
      </c>
      <c r="G34">
        <v>0</v>
      </c>
      <c r="H34">
        <v>0</v>
      </c>
      <c r="I34">
        <v>0</v>
      </c>
      <c r="J34">
        <v>0</v>
      </c>
      <c r="K34">
        <v>0</v>
      </c>
      <c r="L34">
        <v>0</v>
      </c>
      <c r="M34">
        <v>0</v>
      </c>
      <c r="N34">
        <v>0</v>
      </c>
      <c r="O34">
        <v>0</v>
      </c>
      <c r="P34">
        <v>1</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f>SUM(Table112[[#This Row],[ALU]]:Table112[[#This Row],[REE]])</f>
        <v>1</v>
      </c>
    </row>
    <row r="35" spans="1:49">
      <c r="A35" t="s">
        <v>553</v>
      </c>
      <c r="B35" t="str">
        <f>VLOOKUP(Table112[[#This Row],[Country Code]],Table10[[ISO3]:[Continent]],2,FALSE)</f>
        <v>North America</v>
      </c>
      <c r="C35">
        <v>0</v>
      </c>
      <c r="D35">
        <v>0</v>
      </c>
      <c r="E35">
        <v>0</v>
      </c>
      <c r="F35">
        <v>0</v>
      </c>
      <c r="G35">
        <v>0</v>
      </c>
      <c r="H35">
        <v>0</v>
      </c>
      <c r="I35">
        <v>0</v>
      </c>
      <c r="J35">
        <v>0</v>
      </c>
      <c r="K35">
        <v>0</v>
      </c>
      <c r="L35">
        <v>1</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f>SUM(Table112[[#This Row],[ALU]]:Table112[[#This Row],[REE]])</f>
        <v>1</v>
      </c>
    </row>
    <row r="36" spans="1:49">
      <c r="A36" t="s">
        <v>561</v>
      </c>
      <c r="B36" t="str">
        <f>VLOOKUP(Table112[[#This Row],[Country Code]],Table10[[ISO3]:[Continent]],2,FALSE)</f>
        <v>Africa</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1</v>
      </c>
      <c r="AD36">
        <v>0</v>
      </c>
      <c r="AE36">
        <v>0</v>
      </c>
      <c r="AF36">
        <v>0</v>
      </c>
      <c r="AG36">
        <v>0</v>
      </c>
      <c r="AH36">
        <v>0</v>
      </c>
      <c r="AI36">
        <v>0</v>
      </c>
      <c r="AJ36">
        <v>0</v>
      </c>
      <c r="AK36">
        <v>0</v>
      </c>
      <c r="AL36">
        <v>0</v>
      </c>
      <c r="AM36">
        <v>0</v>
      </c>
      <c r="AN36">
        <v>0</v>
      </c>
      <c r="AO36">
        <v>0</v>
      </c>
      <c r="AP36">
        <v>0</v>
      </c>
      <c r="AQ36">
        <v>0</v>
      </c>
      <c r="AR36">
        <v>0</v>
      </c>
      <c r="AS36">
        <v>0</v>
      </c>
      <c r="AT36">
        <v>0</v>
      </c>
      <c r="AU36">
        <v>0</v>
      </c>
      <c r="AV36">
        <v>0</v>
      </c>
      <c r="AW36">
        <f>SUM(Table112[[#This Row],[ALU]]:Table112[[#This Row],[REE]])</f>
        <v>1</v>
      </c>
    </row>
    <row r="37" spans="1:49">
      <c r="A37" t="s">
        <v>569</v>
      </c>
      <c r="B37" t="str">
        <f>VLOOKUP(Table112[[#This Row],[Country Code]],Table10[[ISO3]:[Continent]],2,FALSE)</f>
        <v>Europe</v>
      </c>
      <c r="C37">
        <v>0</v>
      </c>
      <c r="D37">
        <v>0</v>
      </c>
      <c r="E37">
        <v>0</v>
      </c>
      <c r="F37">
        <v>0</v>
      </c>
      <c r="G37">
        <v>0</v>
      </c>
      <c r="H37">
        <v>0</v>
      </c>
      <c r="I37">
        <v>0</v>
      </c>
      <c r="J37">
        <v>0</v>
      </c>
      <c r="K37">
        <v>1</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f>SUM(Table112[[#This Row],[ALU]]:Table112[[#This Row],[REE]])</f>
        <v>1</v>
      </c>
    </row>
    <row r="38" spans="1:49">
      <c r="A38" t="s">
        <v>571</v>
      </c>
      <c r="B38" t="str">
        <f>VLOOKUP(Table112[[#This Row],[Country Code]],Table10[[ISO3]:[Continent]],2,FALSE)</f>
        <v>Africa</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1</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f>SUM(Table112[[#This Row],[ALU]]:Table112[[#This Row],[REE]])</f>
        <v>1</v>
      </c>
    </row>
    <row r="39" spans="1:49">
      <c r="A39" t="s">
        <v>577</v>
      </c>
      <c r="B39" t="str">
        <f>VLOOKUP(Table112[[#This Row],[Country Code]],Table10[[ISO3]:[Continent]],2,FALSE)</f>
        <v>Europe</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1</v>
      </c>
      <c r="AW39">
        <f>SUM(Table112[[#This Row],[ALU]]:Table112[[#This Row],[REE]])</f>
        <v>1</v>
      </c>
    </row>
    <row r="40" spans="1:49">
      <c r="A40" t="s">
        <v>580</v>
      </c>
      <c r="B40" t="str">
        <f>VLOOKUP(Table112[[#This Row],[Country Code]],Table10[[ISO3]:[Continent]],2,FALSE)</f>
        <v>Africa</v>
      </c>
      <c r="C40">
        <v>1</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f>SUM(Table112[[#This Row],[ALU]]:Table112[[#This Row],[REE]])</f>
        <v>1</v>
      </c>
    </row>
    <row r="41" spans="1:49">
      <c r="A41" t="s">
        <v>594</v>
      </c>
      <c r="B41" t="str">
        <f>VLOOKUP(Table112[[#This Row],[Country Code]],Table10[[ISO3]:[Continent]],2,FALSE)</f>
        <v>North America</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f>SUM(Table112[[#This Row],[ALU]]:Table112[[#This Row],[REE]])</f>
        <v>1</v>
      </c>
    </row>
    <row r="42" spans="1:49">
      <c r="A42" t="s">
        <v>595</v>
      </c>
      <c r="B42" t="str">
        <f>VLOOKUP(Table112[[#This Row],[Country Code]],Table10[[ISO3]:[Continent]],2,FALSE)</f>
        <v>Asia</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1</v>
      </c>
      <c r="AO42">
        <v>0</v>
      </c>
      <c r="AP42">
        <v>0</v>
      </c>
      <c r="AQ42">
        <v>0</v>
      </c>
      <c r="AR42">
        <v>0</v>
      </c>
      <c r="AS42">
        <v>0</v>
      </c>
      <c r="AT42">
        <v>0</v>
      </c>
      <c r="AU42">
        <v>0</v>
      </c>
      <c r="AV42">
        <v>0</v>
      </c>
      <c r="AW42">
        <f>SUM(Table112[[#This Row],[ALU]]:Table112[[#This Row],[REE]])</f>
        <v>1</v>
      </c>
    </row>
    <row r="43" spans="1:49">
      <c r="A43" t="s">
        <v>596</v>
      </c>
      <c r="B43" t="str">
        <f>VLOOKUP(Table112[[#This Row],[Country Code]],Table10[[ISO3]:[Continent]],2,FALSE)</f>
        <v>Asia</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1</v>
      </c>
      <c r="AD43">
        <v>0</v>
      </c>
      <c r="AE43">
        <v>0</v>
      </c>
      <c r="AF43">
        <v>0</v>
      </c>
      <c r="AG43">
        <v>0</v>
      </c>
      <c r="AH43">
        <v>0</v>
      </c>
      <c r="AI43">
        <v>0</v>
      </c>
      <c r="AJ43">
        <v>0</v>
      </c>
      <c r="AK43">
        <v>0</v>
      </c>
      <c r="AL43">
        <v>0</v>
      </c>
      <c r="AM43">
        <v>0</v>
      </c>
      <c r="AN43">
        <v>0</v>
      </c>
      <c r="AO43">
        <v>0</v>
      </c>
      <c r="AP43">
        <v>0</v>
      </c>
      <c r="AQ43">
        <v>0</v>
      </c>
      <c r="AR43">
        <v>0</v>
      </c>
      <c r="AS43">
        <v>0</v>
      </c>
      <c r="AT43">
        <v>0</v>
      </c>
      <c r="AU43">
        <v>0</v>
      </c>
      <c r="AV43">
        <v>0</v>
      </c>
      <c r="AW43">
        <f>SUM(Table112[[#This Row],[ALU]]:Table112[[#This Row],[REE]])</f>
        <v>1</v>
      </c>
    </row>
    <row r="44" spans="1:49">
      <c r="A44" t="s">
        <v>614</v>
      </c>
      <c r="B44" t="str">
        <f>VLOOKUP(Table112[[#This Row],[Country Code]],Table10[[ISO3]:[Continent]],2,FALSE)</f>
        <v>Africa</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1</v>
      </c>
      <c r="AW44">
        <f>SUM(Table112[[#This Row],[ALU]]:Table112[[#This Row],[REE]])</f>
        <v>1</v>
      </c>
    </row>
    <row r="45" spans="1:49">
      <c r="A45" t="s">
        <v>637</v>
      </c>
      <c r="B45" t="str">
        <f>VLOOKUP(Table112[[#This Row],[Country Code]],Table10[[ISO3]:[Continent]],2,FALSE)</f>
        <v>Africa</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1</v>
      </c>
      <c r="AS45">
        <v>0</v>
      </c>
      <c r="AT45">
        <v>0</v>
      </c>
      <c r="AU45">
        <v>0</v>
      </c>
      <c r="AV45">
        <v>0</v>
      </c>
      <c r="AW45">
        <f>SUM(Table112[[#This Row],[ALU]]:Table112[[#This Row],[REE]])</f>
        <v>1</v>
      </c>
    </row>
    <row r="46" spans="1:49">
      <c r="A46" t="s">
        <v>638</v>
      </c>
      <c r="B46" t="str">
        <f>VLOOKUP(Table112[[#This Row],[Country Code]],Table10[[ISO3]:[Continent]],2,FALSE)</f>
        <v>Africa</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1</v>
      </c>
      <c r="AN46">
        <v>0</v>
      </c>
      <c r="AO46">
        <v>0</v>
      </c>
      <c r="AP46">
        <v>0</v>
      </c>
      <c r="AQ46">
        <v>0</v>
      </c>
      <c r="AR46">
        <v>0</v>
      </c>
      <c r="AS46">
        <v>0</v>
      </c>
      <c r="AT46">
        <v>0</v>
      </c>
      <c r="AU46">
        <v>0</v>
      </c>
      <c r="AV46">
        <v>0</v>
      </c>
      <c r="AW46">
        <f>SUM(Table112[[#This Row],[ALU]]:Table112[[#This Row],[REE]])</f>
        <v>1</v>
      </c>
    </row>
    <row r="47" spans="1:49">
      <c r="A47" t="s">
        <v>600</v>
      </c>
      <c r="B47" t="str">
        <f>VLOOKUP(Table112[[#This Row],[Country Code]],Table10[[ISO3]:[Continent]],2,FALSE)</f>
        <v>Asia</v>
      </c>
      <c r="C47">
        <v>0</v>
      </c>
      <c r="D47">
        <v>0</v>
      </c>
      <c r="E47">
        <v>0</v>
      </c>
      <c r="F47">
        <v>0</v>
      </c>
      <c r="G47">
        <v>0</v>
      </c>
      <c r="H47">
        <v>0</v>
      </c>
      <c r="I47">
        <v>0</v>
      </c>
      <c r="J47">
        <v>0</v>
      </c>
      <c r="K47">
        <v>0</v>
      </c>
      <c r="L47">
        <v>0</v>
      </c>
      <c r="M47">
        <v>0</v>
      </c>
      <c r="N47">
        <v>0</v>
      </c>
      <c r="O47">
        <v>0</v>
      </c>
      <c r="P47">
        <v>0</v>
      </c>
      <c r="Q47">
        <v>0</v>
      </c>
      <c r="R47">
        <v>0</v>
      </c>
      <c r="S47">
        <v>0</v>
      </c>
      <c r="T47">
        <v>0</v>
      </c>
      <c r="U47">
        <v>0</v>
      </c>
      <c r="V47">
        <v>0</v>
      </c>
      <c r="W47">
        <v>1</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f>SUM(Table112[[#This Row],[ALU]]:Table112[[#This Row],[REE]])</f>
        <v>1</v>
      </c>
    </row>
    <row r="48" spans="1:49">
      <c r="A48" t="s">
        <v>640</v>
      </c>
      <c r="B48" t="str">
        <f>VLOOKUP(Table112[[#This Row],[Country Code]],Table10[[ISO3]:[Continent]],2,FALSE)</f>
        <v>Europe</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1</v>
      </c>
      <c r="AL48">
        <v>0</v>
      </c>
      <c r="AM48">
        <v>0</v>
      </c>
      <c r="AN48">
        <v>0</v>
      </c>
      <c r="AO48">
        <v>0</v>
      </c>
      <c r="AP48">
        <v>0</v>
      </c>
      <c r="AQ48">
        <v>0</v>
      </c>
      <c r="AR48">
        <v>0</v>
      </c>
      <c r="AS48">
        <v>0</v>
      </c>
      <c r="AT48">
        <v>0</v>
      </c>
      <c r="AU48">
        <v>0</v>
      </c>
      <c r="AV48">
        <v>0</v>
      </c>
      <c r="AW48">
        <f>SUM(Table112[[#This Row],[ALU]]:Table112[[#This Row],[REE]])</f>
        <v>1</v>
      </c>
    </row>
    <row r="49" spans="1:49">
      <c r="A49" t="s">
        <v>662</v>
      </c>
      <c r="B49" t="str">
        <f>VLOOKUP(Table112[[#This Row],[Country Code]],Table10[[ISO3]:[Continent]],2,FALSE)</f>
        <v>Asia</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1</v>
      </c>
      <c r="AD49">
        <v>0</v>
      </c>
      <c r="AE49">
        <v>0</v>
      </c>
      <c r="AF49">
        <v>0</v>
      </c>
      <c r="AG49">
        <v>0</v>
      </c>
      <c r="AH49">
        <v>0</v>
      </c>
      <c r="AI49">
        <v>0</v>
      </c>
      <c r="AJ49">
        <v>0</v>
      </c>
      <c r="AK49">
        <v>0</v>
      </c>
      <c r="AL49">
        <v>0</v>
      </c>
      <c r="AM49">
        <v>0</v>
      </c>
      <c r="AN49">
        <v>0</v>
      </c>
      <c r="AO49">
        <v>0</v>
      </c>
      <c r="AP49">
        <v>0</v>
      </c>
      <c r="AQ49">
        <v>0</v>
      </c>
      <c r="AR49">
        <v>0</v>
      </c>
      <c r="AS49">
        <v>0</v>
      </c>
      <c r="AT49">
        <v>0</v>
      </c>
      <c r="AU49">
        <v>0</v>
      </c>
      <c r="AV49">
        <v>0</v>
      </c>
      <c r="AW49">
        <f>SUM(Table112[[#This Row],[ALU]]:Table112[[#This Row],[REE]])</f>
        <v>1</v>
      </c>
    </row>
    <row r="50" spans="1:49">
      <c r="A50" t="s">
        <v>674</v>
      </c>
      <c r="B50" t="str">
        <f>VLOOKUP(Table112[[#This Row],[Country Code]],Table10[[ISO3]:[Continent]],2,FALSE)</f>
        <v>Europe</v>
      </c>
      <c r="C50">
        <v>0</v>
      </c>
      <c r="D50">
        <v>0</v>
      </c>
      <c r="E50">
        <v>0</v>
      </c>
      <c r="F50">
        <v>0</v>
      </c>
      <c r="G50">
        <v>0</v>
      </c>
      <c r="H50">
        <v>0</v>
      </c>
      <c r="I50">
        <v>0</v>
      </c>
      <c r="J50">
        <v>0</v>
      </c>
      <c r="K50">
        <v>0</v>
      </c>
      <c r="L50">
        <v>0</v>
      </c>
      <c r="M50">
        <v>0</v>
      </c>
      <c r="N50">
        <v>1</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f>SUM(Table112[[#This Row],[ALU]]:Table112[[#This Row],[REE]])</f>
        <v>1</v>
      </c>
    </row>
    <row r="51" spans="1:49">
      <c r="A51" t="s">
        <v>678</v>
      </c>
      <c r="B51" t="str">
        <f>VLOOKUP(Table112[[#This Row],[Country Code]],Table10[[ISO3]:[Continent]],2,FALSE)</f>
        <v>Europe</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1</v>
      </c>
      <c r="AO51">
        <v>0</v>
      </c>
      <c r="AP51">
        <v>0</v>
      </c>
      <c r="AQ51">
        <v>0</v>
      </c>
      <c r="AR51">
        <v>0</v>
      </c>
      <c r="AS51">
        <v>0</v>
      </c>
      <c r="AT51">
        <v>0</v>
      </c>
      <c r="AU51">
        <v>0</v>
      </c>
      <c r="AV51">
        <v>0</v>
      </c>
      <c r="AW51">
        <f>SUM(Table112[[#This Row],[ALU]]:Table112[[#This Row],[REE]])</f>
        <v>1</v>
      </c>
    </row>
    <row r="52" spans="1:49">
      <c r="A52" t="s">
        <v>682</v>
      </c>
      <c r="B52" t="str">
        <f>VLOOKUP(Table112[[#This Row],[Country Code]],Table10[[ISO3]:[Continent]],2,FALSE)</f>
        <v>Asia</v>
      </c>
      <c r="C52">
        <v>0</v>
      </c>
      <c r="D52">
        <v>1</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f>SUM(Table112[[#This Row],[ALU]]:Table112[[#This Row],[REE]])</f>
        <v>1</v>
      </c>
    </row>
    <row r="53" spans="1:49">
      <c r="A53" t="s">
        <v>698</v>
      </c>
      <c r="B53" t="str">
        <f>VLOOKUP(Table112[[#This Row],[Country Code]],Table10[[ISO3]:[Continent]],2,FALSE)</f>
        <v>Asia</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1</v>
      </c>
      <c r="AS53">
        <v>0</v>
      </c>
      <c r="AT53">
        <v>0</v>
      </c>
      <c r="AU53">
        <v>0</v>
      </c>
      <c r="AV53">
        <v>0</v>
      </c>
      <c r="AW53">
        <f>SUM(Table112[[#This Row],[ALU]]:Table112[[#This Row],[REE]])</f>
        <v>1</v>
      </c>
    </row>
    <row r="54" spans="1:49">
      <c r="A54" t="s">
        <v>703</v>
      </c>
      <c r="B54" t="str">
        <f>VLOOKUP(Table112[[#This Row],[Country Code]],Table10[[ISO3]:[Continent]],2,FALSE)</f>
        <v>Africa</v>
      </c>
      <c r="C54">
        <v>0</v>
      </c>
      <c r="D54">
        <v>0</v>
      </c>
      <c r="E54">
        <v>0</v>
      </c>
      <c r="F54">
        <v>0</v>
      </c>
      <c r="G54">
        <v>0</v>
      </c>
      <c r="H54">
        <v>0</v>
      </c>
      <c r="I54">
        <v>0</v>
      </c>
      <c r="J54">
        <v>0</v>
      </c>
      <c r="K54">
        <v>0</v>
      </c>
      <c r="L54">
        <v>0</v>
      </c>
      <c r="M54">
        <v>1</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f>SUM(Table112[[#This Row],[ALU]]:Table112[[#This Row],[REE]])</f>
        <v>1</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B0494-0D1F-45AA-8D11-7F46CDD001BE}">
  <dimension ref="A1:B47"/>
  <sheetViews>
    <sheetView zoomScale="85" zoomScaleNormal="85" workbookViewId="0">
      <selection activeCell="H9" sqref="H9"/>
    </sheetView>
  </sheetViews>
  <sheetFormatPr defaultRowHeight="14.4"/>
  <cols>
    <col min="1" max="1" width="11.5546875" bestFit="1" customWidth="1"/>
    <col min="2" max="2" width="12.6640625" bestFit="1" customWidth="1"/>
  </cols>
  <sheetData>
    <row r="1" spans="1:2">
      <c r="A1" s="5" t="s">
        <v>710</v>
      </c>
      <c r="B1" s="5" t="s">
        <v>807</v>
      </c>
    </row>
    <row r="2" spans="1:2">
      <c r="A2" s="16" t="s">
        <v>84</v>
      </c>
      <c r="B2">
        <f>SUM(Table112[REE])</f>
        <v>13</v>
      </c>
    </row>
    <row r="3" spans="1:2">
      <c r="A3" s="16" t="s">
        <v>722</v>
      </c>
      <c r="B3">
        <f>SUM(Table112[COP])</f>
        <v>7</v>
      </c>
    </row>
    <row r="4" spans="1:2">
      <c r="A4" s="16" t="s">
        <v>712</v>
      </c>
      <c r="B4">
        <f>SUM(Table112[ALU])</f>
        <v>6</v>
      </c>
    </row>
    <row r="5" spans="1:2">
      <c r="A5" s="16" t="s">
        <v>713</v>
      </c>
      <c r="B5">
        <f>SUM(Table112[ANT])</f>
        <v>6</v>
      </c>
    </row>
    <row r="6" spans="1:2">
      <c r="A6" s="16" t="s">
        <v>726</v>
      </c>
      <c r="B6">
        <f>SUM(Table112[GRA])</f>
        <v>6</v>
      </c>
    </row>
    <row r="7" spans="1:2">
      <c r="A7" s="16" t="s">
        <v>730</v>
      </c>
      <c r="B7">
        <f>SUM(Table112[LIT])</f>
        <v>6</v>
      </c>
    </row>
    <row r="8" spans="1:2">
      <c r="A8" s="16" t="s">
        <v>636</v>
      </c>
      <c r="B8">
        <f>SUM(Table112[NIC])</f>
        <v>6</v>
      </c>
    </row>
    <row r="9" spans="1:2">
      <c r="A9" s="16" t="s">
        <v>562</v>
      </c>
      <c r="B9">
        <f>SUM(Table112[SLV])</f>
        <v>6</v>
      </c>
    </row>
    <row r="10" spans="1:2">
      <c r="A10" s="16" t="s">
        <v>746</v>
      </c>
      <c r="B10">
        <f>SUM(Table112[TIN])</f>
        <v>6</v>
      </c>
    </row>
    <row r="11" spans="1:2">
      <c r="A11" s="16" t="s">
        <v>748</v>
      </c>
      <c r="B11">
        <f>SUM(Table112[URA])</f>
        <v>6</v>
      </c>
    </row>
    <row r="12" spans="1:2">
      <c r="A12" s="16" t="s">
        <v>714</v>
      </c>
      <c r="B12">
        <f>SUM(Table112[ARS])</f>
        <v>5</v>
      </c>
    </row>
    <row r="13" spans="1:2">
      <c r="A13" s="16" t="s">
        <v>715</v>
      </c>
      <c r="B13">
        <f>SUM(Table112[BAR])</f>
        <v>5</v>
      </c>
    </row>
    <row r="14" spans="1:2">
      <c r="A14" s="16" t="s">
        <v>716</v>
      </c>
      <c r="B14">
        <f>SUM(Table112[BER])</f>
        <v>5</v>
      </c>
    </row>
    <row r="15" spans="1:2">
      <c r="A15" s="16" t="s">
        <v>717</v>
      </c>
      <c r="B15">
        <f>SUM(Table112[BIS])</f>
        <v>5</v>
      </c>
    </row>
    <row r="16" spans="1:2">
      <c r="A16" s="16" t="s">
        <v>718</v>
      </c>
      <c r="B16">
        <f>SUM(Table112[BOR])</f>
        <v>5</v>
      </c>
    </row>
    <row r="17" spans="1:2">
      <c r="A17" s="16" t="s">
        <v>720</v>
      </c>
      <c r="B17">
        <f>SUM(Table112[CHR])</f>
        <v>5</v>
      </c>
    </row>
    <row r="18" spans="1:2">
      <c r="A18" s="16" t="s">
        <v>721</v>
      </c>
      <c r="B18">
        <f>SUM(Table112[COB])</f>
        <v>5</v>
      </c>
    </row>
    <row r="19" spans="1:2">
      <c r="A19" s="16" t="s">
        <v>723</v>
      </c>
      <c r="B19">
        <f>SUM(Table112[FLU])</f>
        <v>5</v>
      </c>
    </row>
    <row r="20" spans="1:2">
      <c r="A20" s="16" t="s">
        <v>724</v>
      </c>
      <c r="B20">
        <f>SUM(Table112[GAL])</f>
        <v>5</v>
      </c>
    </row>
    <row r="21" spans="1:2">
      <c r="A21" s="16" t="s">
        <v>725</v>
      </c>
      <c r="B21">
        <f>SUM(Table112[GER])</f>
        <v>5</v>
      </c>
    </row>
    <row r="22" spans="1:2">
      <c r="A22" s="16" t="s">
        <v>727</v>
      </c>
      <c r="B22">
        <f>SUM(Table112[HAF])</f>
        <v>5</v>
      </c>
    </row>
    <row r="23" spans="1:2">
      <c r="A23" s="16" t="s">
        <v>587</v>
      </c>
      <c r="B23">
        <f>SUM(Table112[IND])</f>
        <v>5</v>
      </c>
    </row>
    <row r="24" spans="1:2">
      <c r="A24" s="16" t="s">
        <v>729</v>
      </c>
      <c r="B24">
        <f>SUM(Table112[LED])</f>
        <v>5</v>
      </c>
    </row>
    <row r="25" spans="1:2">
      <c r="A25" s="16" t="s">
        <v>731</v>
      </c>
      <c r="B25">
        <f>SUM(Table112[MAG])</f>
        <v>5</v>
      </c>
    </row>
    <row r="26" spans="1:2">
      <c r="A26" s="16" t="s">
        <v>732</v>
      </c>
      <c r="B26">
        <f>SUM(Table112[MAN])</f>
        <v>5</v>
      </c>
    </row>
    <row r="27" spans="1:2">
      <c r="A27" s="16" t="s">
        <v>625</v>
      </c>
      <c r="B27">
        <f>SUM(Table112[MCO])</f>
        <v>5</v>
      </c>
    </row>
    <row r="28" spans="1:2">
      <c r="A28" s="16" t="s">
        <v>735</v>
      </c>
      <c r="B28">
        <f>SUM(Table112[PHO])</f>
        <v>5</v>
      </c>
    </row>
    <row r="29" spans="1:2">
      <c r="A29" s="16" t="s">
        <v>737</v>
      </c>
      <c r="B29">
        <f>SUM(Table112[POT])</f>
        <v>5</v>
      </c>
    </row>
    <row r="30" spans="1:2">
      <c r="A30" s="16" t="s">
        <v>738</v>
      </c>
      <c r="B30">
        <f>SUM(Table112[RHE])</f>
        <v>5</v>
      </c>
    </row>
    <row r="31" spans="1:2">
      <c r="A31" s="16" t="s">
        <v>742</v>
      </c>
      <c r="B31">
        <f>SUM(Table112[SCA])</f>
        <v>5</v>
      </c>
    </row>
    <row r="32" spans="1:2">
      <c r="A32" s="16" t="s">
        <v>743</v>
      </c>
      <c r="B32">
        <f>SUM(Table112[SIL])</f>
        <v>5</v>
      </c>
    </row>
    <row r="33" spans="1:2">
      <c r="A33" s="16" t="s">
        <v>744</v>
      </c>
      <c r="B33">
        <f>SUM(Table112[TAN])</f>
        <v>5</v>
      </c>
    </row>
    <row r="34" spans="1:2">
      <c r="A34" s="16" t="s">
        <v>745</v>
      </c>
      <c r="B34">
        <f>SUM(Table112[TEL])</f>
        <v>5</v>
      </c>
    </row>
    <row r="35" spans="1:2">
      <c r="A35" s="16" t="s">
        <v>747</v>
      </c>
      <c r="B35">
        <f>SUM(Table112[TIT])</f>
        <v>5</v>
      </c>
    </row>
    <row r="36" spans="1:2">
      <c r="A36" s="16" t="s">
        <v>689</v>
      </c>
      <c r="B36">
        <f>SUM(Table112[TUN])</f>
        <v>5</v>
      </c>
    </row>
    <row r="37" spans="1:2">
      <c r="A37" s="16" t="s">
        <v>749</v>
      </c>
      <c r="B37">
        <f>SUM(Table112[VAN])</f>
        <v>5</v>
      </c>
    </row>
    <row r="38" spans="1:2">
      <c r="A38" s="16" t="s">
        <v>750</v>
      </c>
      <c r="B38">
        <f>SUM(Table112[ZIN])</f>
        <v>5</v>
      </c>
    </row>
    <row r="39" spans="1:2">
      <c r="A39" s="16" t="s">
        <v>751</v>
      </c>
      <c r="B39">
        <f>SUM(Table112[ZIR])</f>
        <v>5</v>
      </c>
    </row>
    <row r="40" spans="1:2">
      <c r="A40" s="16" t="s">
        <v>719</v>
      </c>
      <c r="B40">
        <f>SUM(Table112[CES])</f>
        <v>4</v>
      </c>
    </row>
    <row r="41" spans="1:2">
      <c r="A41" s="16" t="s">
        <v>728</v>
      </c>
      <c r="B41">
        <f>SUM(Table112[IRI])</f>
        <v>4</v>
      </c>
    </row>
    <row r="42" spans="1:2">
      <c r="A42" s="16" t="s">
        <v>734</v>
      </c>
      <c r="B42">
        <f>SUM(Table112[PAL])</f>
        <v>4</v>
      </c>
    </row>
    <row r="43" spans="1:2">
      <c r="A43" s="16" t="s">
        <v>736</v>
      </c>
      <c r="B43">
        <f>SUM(Table112[PLA])</f>
        <v>4</v>
      </c>
    </row>
    <row r="44" spans="1:2">
      <c r="A44" s="16" t="s">
        <v>740</v>
      </c>
      <c r="B44">
        <f>SUM(Table112[RUB])</f>
        <v>4</v>
      </c>
    </row>
    <row r="45" spans="1:2">
      <c r="A45" s="16" t="s">
        <v>733</v>
      </c>
      <c r="B45">
        <f>SUM(Table112[NIO])</f>
        <v>3</v>
      </c>
    </row>
    <row r="46" spans="1:2">
      <c r="A46" s="16" t="s">
        <v>739</v>
      </c>
      <c r="B46">
        <f>SUM(Table112[RHO])</f>
        <v>3</v>
      </c>
    </row>
    <row r="47" spans="1:2">
      <c r="A47" s="16" t="s">
        <v>741</v>
      </c>
      <c r="B47">
        <f>SUM(Table112[RUT])</f>
        <v>3</v>
      </c>
    </row>
  </sheetData>
  <sortState xmlns:xlrd2="http://schemas.microsoft.com/office/spreadsheetml/2017/richdata2" ref="A2:B47">
    <sortCondition descending="1" ref="B44:B47"/>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0DD54-B79C-4816-B474-350E5D7FB746}">
  <dimension ref="A1:D47"/>
  <sheetViews>
    <sheetView zoomScale="88" workbookViewId="0">
      <selection activeCell="F8" sqref="F8"/>
    </sheetView>
  </sheetViews>
  <sheetFormatPr defaultRowHeight="14.4"/>
  <cols>
    <col min="1" max="1" width="16.5546875" customWidth="1"/>
    <col min="2" max="2" width="23.21875" bestFit="1" customWidth="1"/>
    <col min="3" max="4" width="26.44140625" customWidth="1"/>
    <col min="5" max="5" width="9.109375" customWidth="1"/>
  </cols>
  <sheetData>
    <row r="1" spans="1:4">
      <c r="A1" t="s">
        <v>710</v>
      </c>
      <c r="B1" t="s">
        <v>361</v>
      </c>
      <c r="C1" t="s">
        <v>360</v>
      </c>
      <c r="D1" t="s">
        <v>362</v>
      </c>
    </row>
    <row r="2" spans="1:4">
      <c r="A2" s="14" t="s">
        <v>733</v>
      </c>
      <c r="B2">
        <f>VLOOKUP(Table2[[#This Row],[Mineral Code]],'03_global_tot'!A$2:B$47,2,FALSE)</f>
        <v>3</v>
      </c>
      <c r="C2" cm="1">
        <f t="array" ref="C2">COUNTIF(min_sector_list,Table2[[#This Row],[Mineral Code]])</f>
        <v>4</v>
      </c>
      <c r="D2">
        <f>Table2[[#This Row],[Total Manufacturing Demand]]/Table2[[#This Row],[Producer Country Count]]</f>
        <v>1.3333333333333333</v>
      </c>
    </row>
    <row r="3" spans="1:4">
      <c r="A3" s="14" t="s">
        <v>739</v>
      </c>
      <c r="B3">
        <f>VLOOKUP(Table2[[#This Row],[Mineral Code]],'03_global_tot'!A$2:B$47,2,FALSE)</f>
        <v>3</v>
      </c>
      <c r="C3" cm="1">
        <f t="array" ref="C3">COUNTIF(min_sector_list,Table2[[#This Row],[Mineral Code]])</f>
        <v>4</v>
      </c>
      <c r="D3">
        <f>Table2[[#This Row],[Total Manufacturing Demand]]/Table2[[#This Row],[Producer Country Count]]</f>
        <v>1.3333333333333333</v>
      </c>
    </row>
    <row r="4" spans="1:4">
      <c r="A4" s="14" t="s">
        <v>741</v>
      </c>
      <c r="B4">
        <f>VLOOKUP(Table2[[#This Row],[Mineral Code]],'03_global_tot'!A$2:B$47,2,FALSE)</f>
        <v>3</v>
      </c>
      <c r="C4" cm="1">
        <f t="array" ref="C4">COUNTIF(min_sector_list,Table2[[#This Row],[Mineral Code]])</f>
        <v>4</v>
      </c>
      <c r="D4">
        <f>Table2[[#This Row],[Total Manufacturing Demand]]/Table2[[#This Row],[Producer Country Count]]</f>
        <v>1.3333333333333333</v>
      </c>
    </row>
    <row r="5" spans="1:4">
      <c r="A5" s="14" t="s">
        <v>719</v>
      </c>
      <c r="B5">
        <f>VLOOKUP(Table2[[#This Row],[Mineral Code]],'03_global_tot'!A$2:B$47,2,FALSE)</f>
        <v>4</v>
      </c>
      <c r="C5" cm="1">
        <f t="array" ref="C5">COUNTIF(min_sector_list,Table2[[#This Row],[Mineral Code]])</f>
        <v>4</v>
      </c>
      <c r="D5">
        <f>Table2[[#This Row],[Total Manufacturing Demand]]/Table2[[#This Row],[Producer Country Count]]</f>
        <v>1</v>
      </c>
    </row>
    <row r="6" spans="1:4">
      <c r="A6" s="14" t="s">
        <v>728</v>
      </c>
      <c r="B6">
        <f>VLOOKUP(Table2[[#This Row],[Mineral Code]],'03_global_tot'!A$2:B$47,2,FALSE)</f>
        <v>4</v>
      </c>
      <c r="C6" cm="1">
        <f t="array" ref="C6">COUNTIF(min_sector_list,Table2[[#This Row],[Mineral Code]])</f>
        <v>4</v>
      </c>
      <c r="D6">
        <f>Table2[[#This Row],[Total Manufacturing Demand]]/Table2[[#This Row],[Producer Country Count]]</f>
        <v>1</v>
      </c>
    </row>
    <row r="7" spans="1:4">
      <c r="A7" s="8" t="s">
        <v>734</v>
      </c>
      <c r="B7">
        <f>VLOOKUP(Table2[[#This Row],[Mineral Code]],'03_global_tot'!A$2:B$47,2,FALSE)</f>
        <v>4</v>
      </c>
      <c r="C7" cm="1">
        <f t="array" ref="C7">COUNTIF(min_sector_list,Table2[[#This Row],[Mineral Code]])</f>
        <v>4</v>
      </c>
      <c r="D7">
        <f>Table2[[#This Row],[Total Manufacturing Demand]]/Table2[[#This Row],[Producer Country Count]]</f>
        <v>1</v>
      </c>
    </row>
    <row r="8" spans="1:4">
      <c r="A8" s="14" t="s">
        <v>736</v>
      </c>
      <c r="B8">
        <f>VLOOKUP(Table2[[#This Row],[Mineral Code]],'03_global_tot'!A$2:B$47,2,FALSE)</f>
        <v>4</v>
      </c>
      <c r="C8" cm="1">
        <f t="array" ref="C8">COUNTIF(min_sector_list,Table2[[#This Row],[Mineral Code]])</f>
        <v>4</v>
      </c>
      <c r="D8">
        <f>Table2[[#This Row],[Total Manufacturing Demand]]/Table2[[#This Row],[Producer Country Count]]</f>
        <v>1</v>
      </c>
    </row>
    <row r="9" spans="1:4">
      <c r="A9" s="8" t="s">
        <v>740</v>
      </c>
      <c r="B9">
        <f>VLOOKUP(Table2[[#This Row],[Mineral Code]],'03_global_tot'!A$2:B$47,2,FALSE)</f>
        <v>4</v>
      </c>
      <c r="C9" cm="1">
        <f t="array" ref="C9">COUNTIF(min_sector_list,Table2[[#This Row],[Mineral Code]])</f>
        <v>4</v>
      </c>
      <c r="D9">
        <f>Table2[[#This Row],[Total Manufacturing Demand]]/Table2[[#This Row],[Producer Country Count]]</f>
        <v>1</v>
      </c>
    </row>
    <row r="10" spans="1:4">
      <c r="A10" s="14" t="s">
        <v>714</v>
      </c>
      <c r="B10">
        <f>VLOOKUP(Table2[[#This Row],[Mineral Code]],'03_global_tot'!A$2:B$47,2,FALSE)</f>
        <v>5</v>
      </c>
      <c r="C10" cm="1">
        <f t="array" ref="C10">COUNTIF(min_sector_list,Table2[[#This Row],[Mineral Code]])</f>
        <v>4</v>
      </c>
      <c r="D10">
        <f>Table2[[#This Row],[Total Manufacturing Demand]]/Table2[[#This Row],[Producer Country Count]]</f>
        <v>0.8</v>
      </c>
    </row>
    <row r="11" spans="1:4">
      <c r="A11" s="8" t="s">
        <v>715</v>
      </c>
      <c r="B11">
        <f>VLOOKUP(Table2[[#This Row],[Mineral Code]],'03_global_tot'!A$2:B$47,2,FALSE)</f>
        <v>5</v>
      </c>
      <c r="C11" cm="1">
        <f t="array" ref="C11">COUNTIF(min_sector_list,Table2[[#This Row],[Mineral Code]])</f>
        <v>4</v>
      </c>
      <c r="D11">
        <f>Table2[[#This Row],[Total Manufacturing Demand]]/Table2[[#This Row],[Producer Country Count]]</f>
        <v>0.8</v>
      </c>
    </row>
    <row r="12" spans="1:4">
      <c r="A12" s="14" t="s">
        <v>716</v>
      </c>
      <c r="B12">
        <f>VLOOKUP(Table2[[#This Row],[Mineral Code]],'03_global_tot'!A$2:B$47,2,FALSE)</f>
        <v>5</v>
      </c>
      <c r="C12" cm="1">
        <f t="array" ref="C12">COUNTIF(min_sector_list,Table2[[#This Row],[Mineral Code]])</f>
        <v>4</v>
      </c>
      <c r="D12">
        <f>Table2[[#This Row],[Total Manufacturing Demand]]/Table2[[#This Row],[Producer Country Count]]</f>
        <v>0.8</v>
      </c>
    </row>
    <row r="13" spans="1:4">
      <c r="A13" s="14" t="s">
        <v>717</v>
      </c>
      <c r="B13">
        <f>VLOOKUP(Table2[[#This Row],[Mineral Code]],'03_global_tot'!A$2:B$47,2,FALSE)</f>
        <v>5</v>
      </c>
      <c r="C13" cm="1">
        <f t="array" ref="C13">COUNTIF(min_sector_list,Table2[[#This Row],[Mineral Code]])</f>
        <v>4</v>
      </c>
      <c r="D13">
        <f>Table2[[#This Row],[Total Manufacturing Demand]]/Table2[[#This Row],[Producer Country Count]]</f>
        <v>0.8</v>
      </c>
    </row>
    <row r="14" spans="1:4">
      <c r="A14" s="8" t="s">
        <v>718</v>
      </c>
      <c r="B14">
        <f>VLOOKUP(Table2[[#This Row],[Mineral Code]],'03_global_tot'!A$2:B$47,2,FALSE)</f>
        <v>5</v>
      </c>
      <c r="C14" cm="1">
        <f t="array" ref="C14">COUNTIF(min_sector_list,Table2[[#This Row],[Mineral Code]])</f>
        <v>4</v>
      </c>
      <c r="D14">
        <f>Table2[[#This Row],[Total Manufacturing Demand]]/Table2[[#This Row],[Producer Country Count]]</f>
        <v>0.8</v>
      </c>
    </row>
    <row r="15" spans="1:4">
      <c r="A15" s="14" t="s">
        <v>720</v>
      </c>
      <c r="B15">
        <f>VLOOKUP(Table2[[#This Row],[Mineral Code]],'03_global_tot'!A$2:B$47,2,FALSE)</f>
        <v>5</v>
      </c>
      <c r="C15" cm="1">
        <f t="array" ref="C15">COUNTIF(min_sector_list,Table2[[#This Row],[Mineral Code]])</f>
        <v>4</v>
      </c>
      <c r="D15">
        <f>Table2[[#This Row],[Total Manufacturing Demand]]/Table2[[#This Row],[Producer Country Count]]</f>
        <v>0.8</v>
      </c>
    </row>
    <row r="16" spans="1:4">
      <c r="A16" s="8" t="s">
        <v>721</v>
      </c>
      <c r="B16">
        <f>VLOOKUP(Table2[[#This Row],[Mineral Code]],'03_global_tot'!A$2:B$47,2,FALSE)</f>
        <v>5</v>
      </c>
      <c r="C16" cm="1">
        <f t="array" ref="C16">COUNTIF(min_sector_list,Table2[[#This Row],[Mineral Code]])</f>
        <v>4</v>
      </c>
      <c r="D16">
        <f>Table2[[#This Row],[Total Manufacturing Demand]]/Table2[[#This Row],[Producer Country Count]]</f>
        <v>0.8</v>
      </c>
    </row>
    <row r="17" spans="1:4">
      <c r="A17" s="8" t="s">
        <v>723</v>
      </c>
      <c r="B17">
        <f>VLOOKUP(Table2[[#This Row],[Mineral Code]],'03_global_tot'!A$2:B$47,2,FALSE)</f>
        <v>5</v>
      </c>
      <c r="C17" cm="1">
        <f t="array" ref="C17">COUNTIF(min_sector_list,Table2[[#This Row],[Mineral Code]])</f>
        <v>4</v>
      </c>
      <c r="D17">
        <f>Table2[[#This Row],[Total Manufacturing Demand]]/Table2[[#This Row],[Producer Country Count]]</f>
        <v>0.8</v>
      </c>
    </row>
    <row r="18" spans="1:4">
      <c r="A18" s="8" t="s">
        <v>724</v>
      </c>
      <c r="B18">
        <f>VLOOKUP(Table2[[#This Row],[Mineral Code]],'03_global_tot'!A$2:B$47,2,FALSE)</f>
        <v>5</v>
      </c>
      <c r="C18" cm="1">
        <f t="array" ref="C18">COUNTIF(min_sector_list,Table2[[#This Row],[Mineral Code]])</f>
        <v>4</v>
      </c>
      <c r="D18">
        <f>Table2[[#This Row],[Total Manufacturing Demand]]/Table2[[#This Row],[Producer Country Count]]</f>
        <v>0.8</v>
      </c>
    </row>
    <row r="19" spans="1:4">
      <c r="A19" s="14" t="s">
        <v>725</v>
      </c>
      <c r="B19">
        <f>VLOOKUP(Table2[[#This Row],[Mineral Code]],'03_global_tot'!A$2:B$47,2,FALSE)</f>
        <v>5</v>
      </c>
      <c r="C19" cm="1">
        <f t="array" ref="C19">COUNTIF(min_sector_list,Table2[[#This Row],[Mineral Code]])</f>
        <v>4</v>
      </c>
      <c r="D19">
        <f>Table2[[#This Row],[Total Manufacturing Demand]]/Table2[[#This Row],[Producer Country Count]]</f>
        <v>0.8</v>
      </c>
    </row>
    <row r="20" spans="1:4">
      <c r="A20" s="14" t="s">
        <v>727</v>
      </c>
      <c r="B20">
        <f>VLOOKUP(Table2[[#This Row],[Mineral Code]],'03_global_tot'!A$2:B$47,2,FALSE)</f>
        <v>5</v>
      </c>
      <c r="C20" cm="1">
        <f t="array" ref="C20">COUNTIF(min_sector_list,Table2[[#This Row],[Mineral Code]])</f>
        <v>4</v>
      </c>
      <c r="D20">
        <f>Table2[[#This Row],[Total Manufacturing Demand]]/Table2[[#This Row],[Producer Country Count]]</f>
        <v>0.8</v>
      </c>
    </row>
    <row r="21" spans="1:4">
      <c r="A21" s="8" t="s">
        <v>587</v>
      </c>
      <c r="B21">
        <f>VLOOKUP(Table2[[#This Row],[Mineral Code]],'03_global_tot'!A$2:B$47,2,FALSE)</f>
        <v>5</v>
      </c>
      <c r="C21" cm="1">
        <f t="array" ref="C21">COUNTIF(min_sector_list,Table2[[#This Row],[Mineral Code]])</f>
        <v>4</v>
      </c>
      <c r="D21">
        <f>Table2[[#This Row],[Total Manufacturing Demand]]/Table2[[#This Row],[Producer Country Count]]</f>
        <v>0.8</v>
      </c>
    </row>
    <row r="22" spans="1:4">
      <c r="A22" s="8" t="s">
        <v>729</v>
      </c>
      <c r="B22">
        <f>VLOOKUP(Table2[[#This Row],[Mineral Code]],'03_global_tot'!A$2:B$47,2,FALSE)</f>
        <v>5</v>
      </c>
      <c r="C22" cm="1">
        <f t="array" ref="C22">COUNTIF(min_sector_list,Table2[[#This Row],[Mineral Code]])</f>
        <v>4</v>
      </c>
      <c r="D22">
        <f>Table2[[#This Row],[Total Manufacturing Demand]]/Table2[[#This Row],[Producer Country Count]]</f>
        <v>0.8</v>
      </c>
    </row>
    <row r="23" spans="1:4">
      <c r="A23" s="14" t="s">
        <v>731</v>
      </c>
      <c r="B23">
        <f>VLOOKUP(Table2[[#This Row],[Mineral Code]],'03_global_tot'!A$2:B$47,2,FALSE)</f>
        <v>5</v>
      </c>
      <c r="C23" cm="1">
        <f t="array" ref="C23">COUNTIF(min_sector_list,Table2[[#This Row],[Mineral Code]])</f>
        <v>4</v>
      </c>
      <c r="D23">
        <f>Table2[[#This Row],[Total Manufacturing Demand]]/Table2[[#This Row],[Producer Country Count]]</f>
        <v>0.8</v>
      </c>
    </row>
    <row r="24" spans="1:4">
      <c r="A24" s="8" t="s">
        <v>732</v>
      </c>
      <c r="B24">
        <f>VLOOKUP(Table2[[#This Row],[Mineral Code]],'03_global_tot'!A$2:B$47,2,FALSE)</f>
        <v>5</v>
      </c>
      <c r="C24" cm="1">
        <f t="array" ref="C24">COUNTIF(min_sector_list,Table2[[#This Row],[Mineral Code]])</f>
        <v>4</v>
      </c>
      <c r="D24">
        <f>Table2[[#This Row],[Total Manufacturing Demand]]/Table2[[#This Row],[Producer Country Count]]</f>
        <v>0.8</v>
      </c>
    </row>
    <row r="25" spans="1:4">
      <c r="A25" s="14" t="s">
        <v>625</v>
      </c>
      <c r="B25">
        <f>VLOOKUP(Table2[[#This Row],[Mineral Code]],'03_global_tot'!A$2:B$47,2,FALSE)</f>
        <v>5</v>
      </c>
      <c r="C25" cm="1">
        <f t="array" ref="C25">COUNTIF(min_sector_list,Table2[[#This Row],[Mineral Code]])</f>
        <v>4</v>
      </c>
      <c r="D25">
        <f>Table2[[#This Row],[Total Manufacturing Demand]]/Table2[[#This Row],[Producer Country Count]]</f>
        <v>0.8</v>
      </c>
    </row>
    <row r="26" spans="1:4">
      <c r="A26" s="14" t="s">
        <v>735</v>
      </c>
      <c r="B26">
        <f>VLOOKUP(Table2[[#This Row],[Mineral Code]],'03_global_tot'!A$2:B$47,2,FALSE)</f>
        <v>5</v>
      </c>
      <c r="C26" cm="1">
        <f t="array" ref="C26">COUNTIF(min_sector_list,Table2[[#This Row],[Mineral Code]])</f>
        <v>4</v>
      </c>
      <c r="D26">
        <f>Table2[[#This Row],[Total Manufacturing Demand]]/Table2[[#This Row],[Producer Country Count]]</f>
        <v>0.8</v>
      </c>
    </row>
    <row r="27" spans="1:4">
      <c r="A27" s="14" t="s">
        <v>738</v>
      </c>
      <c r="B27">
        <f>VLOOKUP(Table2[[#This Row],[Mineral Code]],'03_global_tot'!A$2:B$47,2,FALSE)</f>
        <v>5</v>
      </c>
      <c r="C27" cm="1">
        <f t="array" ref="C27">COUNTIF(min_sector_list,Table2[[#This Row],[Mineral Code]])</f>
        <v>4</v>
      </c>
      <c r="D27">
        <f>Table2[[#This Row],[Total Manufacturing Demand]]/Table2[[#This Row],[Producer Country Count]]</f>
        <v>0.8</v>
      </c>
    </row>
    <row r="28" spans="1:4">
      <c r="A28" s="8" t="s">
        <v>743</v>
      </c>
      <c r="B28">
        <f>VLOOKUP(Table2[[#This Row],[Mineral Code]],'03_global_tot'!A$2:B$47,2,FALSE)</f>
        <v>5</v>
      </c>
      <c r="C28" cm="1">
        <f t="array" ref="C28">COUNTIF(min_sector_list,Table2[[#This Row],[Mineral Code]])</f>
        <v>4</v>
      </c>
      <c r="D28">
        <f>Table2[[#This Row],[Total Manufacturing Demand]]/Table2[[#This Row],[Producer Country Count]]</f>
        <v>0.8</v>
      </c>
    </row>
    <row r="29" spans="1:4">
      <c r="A29" s="8" t="s">
        <v>744</v>
      </c>
      <c r="B29">
        <f>VLOOKUP(Table2[[#This Row],[Mineral Code]],'03_global_tot'!A$2:B$47,2,FALSE)</f>
        <v>5</v>
      </c>
      <c r="C29" cm="1">
        <f t="array" ref="C29">COUNTIF(min_sector_list,Table2[[#This Row],[Mineral Code]])</f>
        <v>4</v>
      </c>
      <c r="D29">
        <f>Table2[[#This Row],[Total Manufacturing Demand]]/Table2[[#This Row],[Producer Country Count]]</f>
        <v>0.8</v>
      </c>
    </row>
    <row r="30" spans="1:4">
      <c r="A30" s="14" t="s">
        <v>745</v>
      </c>
      <c r="B30">
        <f>VLOOKUP(Table2[[#This Row],[Mineral Code]],'03_global_tot'!A$2:B$47,2,FALSE)</f>
        <v>5</v>
      </c>
      <c r="C30" cm="1">
        <f t="array" ref="C30">COUNTIF(min_sector_list,Table2[[#This Row],[Mineral Code]])</f>
        <v>4</v>
      </c>
      <c r="D30">
        <f>Table2[[#This Row],[Total Manufacturing Demand]]/Table2[[#This Row],[Producer Country Count]]</f>
        <v>0.8</v>
      </c>
    </row>
    <row r="31" spans="1:4">
      <c r="A31" s="8" t="s">
        <v>747</v>
      </c>
      <c r="B31">
        <f>VLOOKUP(Table2[[#This Row],[Mineral Code]],'03_global_tot'!A$2:B$47,2,FALSE)</f>
        <v>5</v>
      </c>
      <c r="C31" cm="1">
        <f t="array" ref="C31">COUNTIF(min_sector_list,Table2[[#This Row],[Mineral Code]])</f>
        <v>4</v>
      </c>
      <c r="D31">
        <f>Table2[[#This Row],[Total Manufacturing Demand]]/Table2[[#This Row],[Producer Country Count]]</f>
        <v>0.8</v>
      </c>
    </row>
    <row r="32" spans="1:4">
      <c r="A32" s="14" t="s">
        <v>689</v>
      </c>
      <c r="B32">
        <f>VLOOKUP(Table2[[#This Row],[Mineral Code]],'03_global_tot'!A$2:B$47,2,FALSE)</f>
        <v>5</v>
      </c>
      <c r="C32" cm="1">
        <f t="array" ref="C32">COUNTIF(min_sector_list,Table2[[#This Row],[Mineral Code]])</f>
        <v>4</v>
      </c>
      <c r="D32">
        <f>Table2[[#This Row],[Total Manufacturing Demand]]/Table2[[#This Row],[Producer Country Count]]</f>
        <v>0.8</v>
      </c>
    </row>
    <row r="33" spans="1:4">
      <c r="A33" s="14" t="s">
        <v>750</v>
      </c>
      <c r="B33">
        <f>VLOOKUP(Table2[[#This Row],[Mineral Code]],'03_global_tot'!A$2:B$47,2,FALSE)</f>
        <v>5</v>
      </c>
      <c r="C33" cm="1">
        <f t="array" ref="C33">COUNTIF(min_sector_list,Table2[[#This Row],[Mineral Code]])</f>
        <v>4</v>
      </c>
      <c r="D33">
        <f>Table2[[#This Row],[Total Manufacturing Demand]]/Table2[[#This Row],[Producer Country Count]]</f>
        <v>0.8</v>
      </c>
    </row>
    <row r="34" spans="1:4">
      <c r="A34" s="8" t="s">
        <v>751</v>
      </c>
      <c r="B34">
        <f>VLOOKUP(Table2[[#This Row],[Mineral Code]],'03_global_tot'!A$2:B$47,2,FALSE)</f>
        <v>5</v>
      </c>
      <c r="C34" cm="1">
        <f t="array" ref="C34">COUNTIF(min_sector_list,Table2[[#This Row],[Mineral Code]])</f>
        <v>4</v>
      </c>
      <c r="D34">
        <f>Table2[[#This Row],[Total Manufacturing Demand]]/Table2[[#This Row],[Producer Country Count]]</f>
        <v>0.8</v>
      </c>
    </row>
    <row r="35" spans="1:4">
      <c r="A35" t="s">
        <v>712</v>
      </c>
      <c r="B35">
        <f>VLOOKUP(Table2[[#This Row],[Mineral Code]],'03_global_tot'!A$2:B$47,2,FALSE)</f>
        <v>6</v>
      </c>
      <c r="C35" cm="1">
        <f t="array" ref="C35">COUNTIF(min_sector_list,Table2[[#This Row],[Mineral Code]])</f>
        <v>4</v>
      </c>
      <c r="D35">
        <f>Table2[[#This Row],[Total Manufacturing Demand]]/Table2[[#This Row],[Producer Country Count]]</f>
        <v>0.66666666666666663</v>
      </c>
    </row>
    <row r="36" spans="1:4">
      <c r="A36" s="8" t="s">
        <v>713</v>
      </c>
      <c r="B36">
        <f>VLOOKUP(Table2[[#This Row],[Mineral Code]],'03_global_tot'!A$2:B$47,2,FALSE)</f>
        <v>6</v>
      </c>
      <c r="C36" cm="1">
        <f t="array" ref="C36">COUNTIF(min_sector_list,Table2[[#This Row],[Mineral Code]])</f>
        <v>4</v>
      </c>
      <c r="D36">
        <f>Table2[[#This Row],[Total Manufacturing Demand]]/Table2[[#This Row],[Producer Country Count]]</f>
        <v>0.66666666666666663</v>
      </c>
    </row>
    <row r="37" spans="1:4">
      <c r="A37" s="8" t="s">
        <v>726</v>
      </c>
      <c r="B37">
        <f>VLOOKUP(Table2[[#This Row],[Mineral Code]],'03_global_tot'!A$2:B$47,2,FALSE)</f>
        <v>6</v>
      </c>
      <c r="C37" cm="1">
        <f t="array" ref="C37">COUNTIF(min_sector_list,Table2[[#This Row],[Mineral Code]])</f>
        <v>4</v>
      </c>
      <c r="D37">
        <f>Table2[[#This Row],[Total Manufacturing Demand]]/Table2[[#This Row],[Producer Country Count]]</f>
        <v>0.66666666666666663</v>
      </c>
    </row>
    <row r="38" spans="1:4">
      <c r="A38" s="8" t="s">
        <v>730</v>
      </c>
      <c r="B38">
        <f>VLOOKUP(Table2[[#This Row],[Mineral Code]],'03_global_tot'!A$2:B$47,2,FALSE)</f>
        <v>6</v>
      </c>
      <c r="C38" cm="1">
        <f t="array" ref="C38">COUNTIF(min_sector_list,Table2[[#This Row],[Mineral Code]])</f>
        <v>4</v>
      </c>
      <c r="D38">
        <f>Table2[[#This Row],[Total Manufacturing Demand]]/Table2[[#This Row],[Producer Country Count]]</f>
        <v>0.66666666666666663</v>
      </c>
    </row>
    <row r="39" spans="1:4">
      <c r="A39" s="8" t="s">
        <v>636</v>
      </c>
      <c r="B39">
        <f>VLOOKUP(Table2[[#This Row],[Mineral Code]],'03_global_tot'!A$2:B$47,2,FALSE)</f>
        <v>6</v>
      </c>
      <c r="C39" cm="1">
        <f t="array" ref="C39">COUNTIF(min_sector_list,Table2[[#This Row],[Mineral Code]])</f>
        <v>4</v>
      </c>
      <c r="D39">
        <f>Table2[[#This Row],[Total Manufacturing Demand]]/Table2[[#This Row],[Producer Country Count]]</f>
        <v>0.66666666666666663</v>
      </c>
    </row>
    <row r="40" spans="1:4">
      <c r="A40" s="8" t="s">
        <v>562</v>
      </c>
      <c r="B40">
        <f>VLOOKUP(Table2[[#This Row],[Mineral Code]],'03_global_tot'!A$2:B$47,2,FALSE)</f>
        <v>6</v>
      </c>
      <c r="C40" cm="1">
        <f t="array" ref="C40">COUNTIF(min_sector_list,Table2[[#This Row],[Mineral Code]])</f>
        <v>4</v>
      </c>
      <c r="D40">
        <f>Table2[[#This Row],[Total Manufacturing Demand]]/Table2[[#This Row],[Producer Country Count]]</f>
        <v>0.66666666666666663</v>
      </c>
    </row>
    <row r="41" spans="1:4">
      <c r="A41" s="8" t="s">
        <v>746</v>
      </c>
      <c r="B41">
        <f>VLOOKUP(Table2[[#This Row],[Mineral Code]],'03_global_tot'!A$2:B$47,2,FALSE)</f>
        <v>6</v>
      </c>
      <c r="C41" cm="1">
        <f t="array" ref="C41">COUNTIF(min_sector_list,Table2[[#This Row],[Mineral Code]])</f>
        <v>4</v>
      </c>
      <c r="D41">
        <f>Table2[[#This Row],[Total Manufacturing Demand]]/Table2[[#This Row],[Producer Country Count]]</f>
        <v>0.66666666666666663</v>
      </c>
    </row>
    <row r="42" spans="1:4">
      <c r="A42" s="14" t="s">
        <v>737</v>
      </c>
      <c r="B42">
        <f>VLOOKUP(Table2[[#This Row],[Mineral Code]],'03_global_tot'!A$2:B$47,2,FALSE)</f>
        <v>5</v>
      </c>
      <c r="C42" cm="1">
        <f t="array" ref="C42">COUNTIF(min_sector_list,Table2[[#This Row],[Mineral Code]])</f>
        <v>3</v>
      </c>
      <c r="D42">
        <f>Table2[[#This Row],[Total Manufacturing Demand]]/Table2[[#This Row],[Producer Country Count]]</f>
        <v>0.6</v>
      </c>
    </row>
    <row r="43" spans="1:4">
      <c r="A43" s="8" t="s">
        <v>742</v>
      </c>
      <c r="B43">
        <f>VLOOKUP(Table2[[#This Row],[Mineral Code]],'03_global_tot'!A$2:B$47,2,FALSE)</f>
        <v>5</v>
      </c>
      <c r="C43" cm="1">
        <f t="array" ref="C43">COUNTIF(min_sector_list,Table2[[#This Row],[Mineral Code]])</f>
        <v>3</v>
      </c>
      <c r="D43">
        <f>Table2[[#This Row],[Total Manufacturing Demand]]/Table2[[#This Row],[Producer Country Count]]</f>
        <v>0.6</v>
      </c>
    </row>
    <row r="44" spans="1:4">
      <c r="A44" s="8" t="s">
        <v>749</v>
      </c>
      <c r="B44">
        <f>VLOOKUP(Table2[[#This Row],[Mineral Code]],'03_global_tot'!A$2:B$47,2,FALSE)</f>
        <v>5</v>
      </c>
      <c r="C44" cm="1">
        <f t="array" ref="C44">COUNTIF(min_sector_list,Table2[[#This Row],[Mineral Code]])</f>
        <v>3</v>
      </c>
      <c r="D44">
        <f>Table2[[#This Row],[Total Manufacturing Demand]]/Table2[[#This Row],[Producer Country Count]]</f>
        <v>0.6</v>
      </c>
    </row>
    <row r="45" spans="1:4">
      <c r="A45" s="14" t="s">
        <v>722</v>
      </c>
      <c r="B45">
        <f>VLOOKUP(Table2[[#This Row],[Mineral Code]],'03_global_tot'!A$2:B$47,2,FALSE)</f>
        <v>7</v>
      </c>
      <c r="C45" cm="1">
        <f t="array" ref="C45">COUNTIF(min_sector_list,Table2[[#This Row],[Mineral Code]])</f>
        <v>4</v>
      </c>
      <c r="D45">
        <f>Table2[[#This Row],[Total Manufacturing Demand]]/Table2[[#This Row],[Producer Country Count]]</f>
        <v>0.5714285714285714</v>
      </c>
    </row>
    <row r="46" spans="1:4">
      <c r="A46" s="14" t="s">
        <v>748</v>
      </c>
      <c r="B46">
        <f>VLOOKUP(Table2[[#This Row],[Mineral Code]],'03_global_tot'!A$2:B$47,2,FALSE)</f>
        <v>6</v>
      </c>
      <c r="C46" cm="1">
        <f t="array" ref="C46">COUNTIF(min_sector_list,Table2[[#This Row],[Mineral Code]])</f>
        <v>3</v>
      </c>
      <c r="D46">
        <f>Table2[[#This Row],[Total Manufacturing Demand]]/Table2[[#This Row],[Producer Country Count]]</f>
        <v>0.5</v>
      </c>
    </row>
    <row r="47" spans="1:4">
      <c r="A47" s="8" t="s">
        <v>84</v>
      </c>
      <c r="B47">
        <f>VLOOKUP(Table2[[#This Row],[Mineral Code]],'03_global_tot'!A$2:B$47,2,FALSE)</f>
        <v>13</v>
      </c>
      <c r="C47" cm="1">
        <f t="array" ref="C47">COUNTIF(min_sector_list,Table2[[#This Row],[Mineral Code]])</f>
        <v>4</v>
      </c>
      <c r="D47">
        <f>Table2[[#This Row],[Total Manufacturing Demand]]/Table2[[#This Row],[Producer Country Count]]</f>
        <v>0.30769230769230771</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D9C55-FBD3-472F-B4DB-517A2312E2DB}">
  <dimension ref="A1:AV54"/>
  <sheetViews>
    <sheetView topLeftCell="AQ1" zoomScale="130" zoomScaleNormal="130" workbookViewId="0">
      <selection activeCell="BA10" sqref="BA10"/>
    </sheetView>
  </sheetViews>
  <sheetFormatPr defaultRowHeight="14.4"/>
  <cols>
    <col min="1" max="1" width="11.5546875" customWidth="1"/>
    <col min="48" max="48" width="21.44140625" bestFit="1" customWidth="1"/>
  </cols>
  <sheetData>
    <row r="1" spans="1:48">
      <c r="A1" s="5" t="s">
        <v>709</v>
      </c>
      <c r="B1" t="s">
        <v>712</v>
      </c>
      <c r="C1" t="s">
        <v>713</v>
      </c>
      <c r="D1" t="s">
        <v>714</v>
      </c>
      <c r="E1" t="s">
        <v>715</v>
      </c>
      <c r="F1" t="s">
        <v>716</v>
      </c>
      <c r="G1" t="s">
        <v>717</v>
      </c>
      <c r="H1" t="s">
        <v>718</v>
      </c>
      <c r="I1" t="s">
        <v>719</v>
      </c>
      <c r="J1" t="s">
        <v>720</v>
      </c>
      <c r="K1" t="s">
        <v>721</v>
      </c>
      <c r="L1" t="s">
        <v>722</v>
      </c>
      <c r="M1" t="s">
        <v>723</v>
      </c>
      <c r="N1" t="s">
        <v>724</v>
      </c>
      <c r="O1" t="s">
        <v>725</v>
      </c>
      <c r="P1" t="s">
        <v>726</v>
      </c>
      <c r="Q1" t="s">
        <v>727</v>
      </c>
      <c r="R1" t="s">
        <v>587</v>
      </c>
      <c r="S1" t="s">
        <v>728</v>
      </c>
      <c r="T1" t="s">
        <v>729</v>
      </c>
      <c r="U1" t="s">
        <v>730</v>
      </c>
      <c r="V1" t="s">
        <v>731</v>
      </c>
      <c r="W1" t="s">
        <v>732</v>
      </c>
      <c r="X1" t="s">
        <v>625</v>
      </c>
      <c r="Y1" t="s">
        <v>636</v>
      </c>
      <c r="Z1" t="s">
        <v>733</v>
      </c>
      <c r="AA1" t="s">
        <v>734</v>
      </c>
      <c r="AB1" t="s">
        <v>735</v>
      </c>
      <c r="AC1" t="s">
        <v>736</v>
      </c>
      <c r="AD1" t="s">
        <v>737</v>
      </c>
      <c r="AE1" t="s">
        <v>738</v>
      </c>
      <c r="AF1" t="s">
        <v>739</v>
      </c>
      <c r="AG1" t="s">
        <v>740</v>
      </c>
      <c r="AH1" t="s">
        <v>741</v>
      </c>
      <c r="AI1" t="s">
        <v>742</v>
      </c>
      <c r="AJ1" t="s">
        <v>743</v>
      </c>
      <c r="AK1" t="s">
        <v>562</v>
      </c>
      <c r="AL1" t="s">
        <v>744</v>
      </c>
      <c r="AM1" t="s">
        <v>745</v>
      </c>
      <c r="AN1" t="s">
        <v>746</v>
      </c>
      <c r="AO1" t="s">
        <v>747</v>
      </c>
      <c r="AP1" t="s">
        <v>689</v>
      </c>
      <c r="AQ1" t="s">
        <v>748</v>
      </c>
      <c r="AR1" t="s">
        <v>749</v>
      </c>
      <c r="AS1" t="s">
        <v>750</v>
      </c>
      <c r="AT1" t="s">
        <v>751</v>
      </c>
      <c r="AU1" t="s">
        <v>84</v>
      </c>
      <c r="AV1" s="13" t="s">
        <v>363</v>
      </c>
    </row>
    <row r="2" spans="1:48">
      <c r="A2" t="s">
        <v>545</v>
      </c>
      <c r="B2">
        <f>VLOOKUP(Table15[[#Headers],[ALU]],Table2[#All],4,FALSE)*Table112[[#This Row],[ALU]]</f>
        <v>0</v>
      </c>
      <c r="C2">
        <f>VLOOKUP(Table15[[#Headers],[ANT]],Table2[#All],4,FALSE)*Table112[[#This Row],[ANT]]</f>
        <v>0.66666666666666663</v>
      </c>
      <c r="D2">
        <f>VLOOKUP(Table15[[#Headers],[ARS]],Table2[#All],4,FALSE)</f>
        <v>0.8</v>
      </c>
      <c r="E2">
        <f>VLOOKUP(Table15[[#Headers],[BAR]],Table2[#All],4,FALSE)*Table112[[#This Row],[BAR]]</f>
        <v>0.8</v>
      </c>
      <c r="F2">
        <f>VLOOKUP(Table15[[#Headers],[BER]],Table2[#All],4,FALSE)*Table112[[#This Row],[BER]]</f>
        <v>0.8</v>
      </c>
      <c r="G2">
        <f>VLOOKUP(Table15[[#Headers],[BIS]],Table2[#All],4,FALSE)*Table112[[#This Row],[BIS]]</f>
        <v>0.8</v>
      </c>
      <c r="H2">
        <f>VLOOKUP(Table15[[#Headers],[BOR]],Table2[#All],4,FALSE)*Table112[[#This Row],[BOR]]</f>
        <v>0</v>
      </c>
      <c r="I2">
        <f>VLOOKUP(Table15[[#Headers],[CES]],Table2[#All],4,FALSE)*Table112[[#This Row],[CES]]</f>
        <v>0</v>
      </c>
      <c r="J2">
        <f>VLOOKUP(Table15[[#Headers],[CHR]],Table2[#All],4,FALSE)*Table112[[#This Row],[CHR]]</f>
        <v>0</v>
      </c>
      <c r="K2">
        <f>VLOOKUP(Table15[[#Headers],[COB]],Table2[#All],4,FALSE)*Table112[[#This Row],[COB]]</f>
        <v>0</v>
      </c>
      <c r="L2">
        <f>VLOOKUP(Table15[[#Headers],[COP]],Table2[#All],4,FALSE)*Table112[[#This Row],[COP]]</f>
        <v>0</v>
      </c>
      <c r="M2">
        <f>VLOOKUP(Table15[[#Headers],[FLU]],Table2[#All],4,FALSE)*Table112[[#This Row],[FLU]]</f>
        <v>0.8</v>
      </c>
      <c r="N2">
        <f>VLOOKUP(Table15[[#Headers],[GAL]],Table2[#All],4,FALSE)*Table112[[#This Row],[GAL]]</f>
        <v>0.8</v>
      </c>
      <c r="O2">
        <f>VLOOKUP(Table15[[#Headers],[GER]],Table2[#All],4,FALSE)*Table112[[#This Row],[GER]]</f>
        <v>0.8</v>
      </c>
      <c r="P2">
        <f>VLOOKUP(Table15[[#Headers],[GRA]],Table2[#All],4,FALSE)*Table112[[#This Row],[GRA]]</f>
        <v>0.66666666666666663</v>
      </c>
      <c r="Q2">
        <f>VLOOKUP(Table15[[#Headers],[HAF]],Table2[#All],4,FALSE)*Table112[[#This Row],[HAF]]</f>
        <v>0</v>
      </c>
      <c r="R2">
        <f>VLOOKUP(Table15[[#Headers],[IND]],Table2[#All],4,FALSE)*Table112[[#This Row],[IND]]</f>
        <v>0.8</v>
      </c>
      <c r="S2">
        <f>VLOOKUP(Table15[[#Headers],[IRI]],Table2[#All],4,FALSE)*Table112[[#This Row],[IRI]]</f>
        <v>0</v>
      </c>
      <c r="T2">
        <f>VLOOKUP(Table15[[#Headers],[LED]],Table2[#All],4,FALSE)*Table112[[#This Row],[LED]]</f>
        <v>0.8</v>
      </c>
      <c r="U2">
        <f>VLOOKUP(Table15[[#Headers],[LIT]],Table2[#All],4,FALSE)*Table112[[#This Row],[LIT]]</f>
        <v>0.66666666666666663</v>
      </c>
      <c r="V2">
        <f>VLOOKUP(Table15[[#Headers],[MAG]],Table2[#All],4,FALSE)*Table112[[#This Row],[MAG]]</f>
        <v>0.8</v>
      </c>
      <c r="W2">
        <f>VLOOKUP(Table15[[#Headers],[MAN]],Table2[#All],4,FALSE)*Table112[[#This Row],[MAN]]</f>
        <v>0</v>
      </c>
      <c r="X2">
        <f>VLOOKUP(Table15[[#Headers],[MCO]],Table2[#All],4,FALSE)*Table112[[#This Row],[MCO]]</f>
        <v>0</v>
      </c>
      <c r="Y2">
        <f>VLOOKUP(Table15[[#Headers],[NIC]],Table2[#All],4,FALSE)*Table112[[#This Row],[NIC]]</f>
        <v>0</v>
      </c>
      <c r="Z2">
        <f>VLOOKUP(Table15[[#Headers],[NIO]],Table2[#All],4,FALSE)*Table112[[#This Row],[NIO]]</f>
        <v>0</v>
      </c>
      <c r="AA2">
        <f>VLOOKUP(Table15[[#Headers],[PAL]],Table2[#All],4,FALSE)*Table112[[#This Row],[PAL]]</f>
        <v>0</v>
      </c>
      <c r="AB2">
        <f>VLOOKUP(Table15[[#Headers],[PHO]],Table2[#All],4,FALSE)*Table112[[#This Row],[PHO]]</f>
        <v>0.8</v>
      </c>
      <c r="AC2">
        <f>VLOOKUP(Table15[[#Headers],[PLA]],Table2[#All],4,FALSE)*Table112[[#This Row],[PLA]]</f>
        <v>0</v>
      </c>
      <c r="AD2">
        <f>VLOOKUP(Table15[[#Headers],[POT]],Table2[#All],4,FALSE)*Table112[[#This Row],[POT]]</f>
        <v>0.6</v>
      </c>
      <c r="AE2">
        <f>VLOOKUP(Table15[[#Headers],[RHE]],Table2[#All],4,FALSE)*Table112[[#This Row],[RHE]]</f>
        <v>0</v>
      </c>
      <c r="AF2">
        <f>VLOOKUP(Table15[[#Headers],[RHO]],Table2[#All],4,FALSE)*Table112[[#This Row],[RHO]]</f>
        <v>0</v>
      </c>
      <c r="AG2">
        <f>VLOOKUP(Table15[[#Headers],[RUB]],Table2[#All],4,FALSE)*Table112[[#This Row],[RUB]]</f>
        <v>0</v>
      </c>
      <c r="AH2">
        <f>VLOOKUP(Table15[[#Headers],[RUT]],Table2[#All],4,FALSE)*Table112[[#This Row],[RUT]]</f>
        <v>0</v>
      </c>
      <c r="AI2">
        <f>VLOOKUP(Table15[[#Headers],[SCA]],Table2[#All],4,FALSE)*Table112[[#This Row],[SCA]]</f>
        <v>0.6</v>
      </c>
      <c r="AJ2">
        <f>VLOOKUP(Table15[[#Headers],[SIL]],Table2[#All],4,FALSE)*Table112[[#This Row],[SIL]]</f>
        <v>0.8</v>
      </c>
      <c r="AK2">
        <f>VLOOKUP(Table15[[#Headers],[SLV]],Table2[#All],4,FALSE)*Table112[[#This Row],[SLV]]</f>
        <v>0.66666666666666663</v>
      </c>
      <c r="AL2">
        <f>VLOOKUP(Table15[[#Headers],[TAN]],Table2[#All],4,FALSE)*Table112[[#This Row],[TAN]]</f>
        <v>0</v>
      </c>
      <c r="AM2">
        <f>VLOOKUP(Table15[[#Headers],[TEL]],Table2[#All],4,FALSE)*Table112[[#This Row],[TEL]]</f>
        <v>0.8</v>
      </c>
      <c r="AN2">
        <f>VLOOKUP(Table15[[#Headers],[TIN]],Table2[#All],4,FALSE)*Table112[[#This Row],[TIN]]</f>
        <v>0.66666666666666663</v>
      </c>
      <c r="AO2">
        <f>VLOOKUP(Table15[[#Headers],[TIT]],Table2[#All],4,FALSE)*Table112[[#This Row],[TIT]]</f>
        <v>0.8</v>
      </c>
      <c r="AP2">
        <f>VLOOKUP(Table15[[#Headers],[TUN]],Table2[#All],4,FALSE)*Table112[[#This Row],[TUN]]</f>
        <v>0.8</v>
      </c>
      <c r="AQ2">
        <f>VLOOKUP(Table15[[#Headers],[URA]],Table2[#All],4,FALSE)*Table112[[#This Row],[URA]]</f>
        <v>0</v>
      </c>
      <c r="AR2">
        <f>VLOOKUP(Table15[[#Headers],[VAN]],Table2[#All],4,FALSE)*Table112[[#This Row],[VAN]]</f>
        <v>0.6</v>
      </c>
      <c r="AS2">
        <f>VLOOKUP(Table15[[#Headers],[ZIN]],Table2[#All],4,FALSE)*Table112[[#This Row],[ZIN]]</f>
        <v>0.8</v>
      </c>
      <c r="AT2">
        <f>VLOOKUP(Table15[[#Headers],[ZIR]],Table2[#All],4,FALSE)*Table112[[#This Row],[ZIR]]</f>
        <v>0</v>
      </c>
      <c r="AU2">
        <f>VLOOKUP(Table15[[#Headers],[REE]],Table2[#All],4,FALSE)*Table112[[#This Row],[REE]]</f>
        <v>0.30769230769230771</v>
      </c>
      <c r="AV2">
        <f t="shared" ref="AV2:AV33" si="0">SUM(B2:AU2)</f>
        <v>18.241025641025644</v>
      </c>
    </row>
    <row r="3" spans="1:48">
      <c r="A3" t="s">
        <v>518</v>
      </c>
      <c r="B3">
        <f>VLOOKUP(Table15[[#Headers],[ALU]],Table2[#All],4,FALSE)*Table112[[#This Row],[ALU]]</f>
        <v>0.66666666666666663</v>
      </c>
      <c r="C3">
        <f>VLOOKUP(Table15[[#Headers],[ANT]],Table2[#All],4,FALSE)*Table112[[#This Row],[ANT]]</f>
        <v>0</v>
      </c>
      <c r="D3">
        <f>VLOOKUP(Table15[[#Headers],[ARS]],Table2[#All],4,FALSE)*Table112[[#This Row],[ARS]]</f>
        <v>0</v>
      </c>
      <c r="E3">
        <f>VLOOKUP(Table15[[#Headers],[BAR]],Table2[#All],4,FALSE)*Table112[[#This Row],[BAR]]</f>
        <v>0</v>
      </c>
      <c r="F3">
        <f>VLOOKUP(Table15[[#Headers],[BER]],Table2[#All],4,FALSE)*Table112[[#This Row],[BER]]</f>
        <v>0</v>
      </c>
      <c r="G3">
        <f>VLOOKUP(Table15[[#Headers],[BIS]],Table2[#All],4,FALSE)*Table112[[#This Row],[BIS]]</f>
        <v>0</v>
      </c>
      <c r="H3">
        <f>VLOOKUP(Table15[[#Headers],[BOR]],Table2[#All],4,FALSE)*Table112[[#This Row],[BOR]]</f>
        <v>0</v>
      </c>
      <c r="I3">
        <f>VLOOKUP(Table15[[#Headers],[CES]],Table2[#All],4,FALSE)*Table112[[#This Row],[CES]]</f>
        <v>1</v>
      </c>
      <c r="J3">
        <f>VLOOKUP(Table15[[#Headers],[CHR]],Table2[#All],4,FALSE)*Table112[[#This Row],[CHR]]</f>
        <v>0</v>
      </c>
      <c r="K3">
        <f>VLOOKUP(Table15[[#Headers],[COB]],Table2[#All],4,FALSE)*Table112[[#This Row],[COB]]</f>
        <v>0.8</v>
      </c>
      <c r="L3">
        <f>VLOOKUP(Table15[[#Headers],[COP]],Table2[#All],4,FALSE)*Table112[[#This Row],[COP]]</f>
        <v>0.5714285714285714</v>
      </c>
      <c r="M3">
        <f>VLOOKUP(Table15[[#Headers],[FLU]],Table2[#All],4,FALSE)*Table112[[#This Row],[FLU]]</f>
        <v>0</v>
      </c>
      <c r="N3">
        <f>VLOOKUP(Table15[[#Headers],[GAL]],Table2[#All],4,FALSE)*Table112[[#This Row],[GAL]]</f>
        <v>0.8</v>
      </c>
      <c r="O3">
        <f>VLOOKUP(Table15[[#Headers],[GER]],Table2[#All],4,FALSE)*Table112[[#This Row],[GER]]</f>
        <v>0</v>
      </c>
      <c r="P3">
        <f>VLOOKUP(Table15[[#Headers],[GRA]],Table2[#All],4,FALSE)*Table112[[#This Row],[GRA]]</f>
        <v>0</v>
      </c>
      <c r="Q3">
        <f>VLOOKUP(Table15[[#Headers],[HAF]],Table2[#All],4,FALSE)*Table112[[#This Row],[HAF]]</f>
        <v>0.8</v>
      </c>
      <c r="R3">
        <f>VLOOKUP(Table15[[#Headers],[IND]],Table2[#All],4,FALSE)*Table112[[#This Row],[IND]]</f>
        <v>0.8</v>
      </c>
      <c r="S3">
        <f>VLOOKUP(Table15[[#Headers],[IRI]],Table2[#All],4,FALSE)*Table112[[#This Row],[IRI]]</f>
        <v>0</v>
      </c>
      <c r="T3">
        <f>VLOOKUP(Table15[[#Headers],[LED]],Table2[#All],4,FALSE)*Table112[[#This Row],[LED]]</f>
        <v>0.8</v>
      </c>
      <c r="U3">
        <f>VLOOKUP(Table15[[#Headers],[LIT]],Table2[#All],4,FALSE)*Table112[[#This Row],[LIT]]</f>
        <v>0.66666666666666663</v>
      </c>
      <c r="V3">
        <f>VLOOKUP(Table15[[#Headers],[MAG]],Table2[#All],4,FALSE)*Table112[[#This Row],[MAG]]</f>
        <v>0</v>
      </c>
      <c r="W3">
        <f>VLOOKUP(Table15[[#Headers],[MAN]],Table2[#All],4,FALSE)*Table112[[#This Row],[MAN]]</f>
        <v>0.8</v>
      </c>
      <c r="X3">
        <f>VLOOKUP(Table15[[#Headers],[MCO]],Table2[#All],4,FALSE)*Table112[[#This Row],[MCO]]</f>
        <v>0.8</v>
      </c>
      <c r="Y3">
        <f>VLOOKUP(Table15[[#Headers],[NIC]],Table2[#All],4,FALSE)*Table112[[#This Row],[NIC]]</f>
        <v>0.66666666666666663</v>
      </c>
      <c r="Z3">
        <f>VLOOKUP(Table15[[#Headers],[NIO]],Table2[#All],4,FALSE)*Table112[[#This Row],[NIO]]</f>
        <v>1.3333333333333333</v>
      </c>
      <c r="AA3">
        <f>VLOOKUP(Table15[[#Headers],[PAL]],Table2[#All],4,FALSE)*Table112[[#This Row],[PAL]]</f>
        <v>0</v>
      </c>
      <c r="AB3">
        <f>VLOOKUP(Table15[[#Headers],[PHO]],Table2[#All],4,FALSE)*Table112[[#This Row],[PHO]]</f>
        <v>0</v>
      </c>
      <c r="AC3">
        <f>VLOOKUP(Table15[[#Headers],[PLA]],Table2[#All],4,FALSE)*Table112[[#This Row],[PLA]]</f>
        <v>0</v>
      </c>
      <c r="AD3">
        <f>VLOOKUP(Table15[[#Headers],[POT]],Table2[#All],4,FALSE)*Table112[[#This Row],[POT]]</f>
        <v>0</v>
      </c>
      <c r="AE3">
        <f>VLOOKUP(Table15[[#Headers],[RHE]],Table2[#All],4,FALSE)*Table112[[#This Row],[RHE]]</f>
        <v>0</v>
      </c>
      <c r="AF3">
        <f>VLOOKUP(Table15[[#Headers],[RHO]],Table2[#All],4,FALSE)*Table112[[#This Row],[RHO]]</f>
        <v>0</v>
      </c>
      <c r="AG3">
        <f>VLOOKUP(Table15[[#Headers],[RUB]],Table2[#All],4,FALSE)*Table112[[#This Row],[RUB]]</f>
        <v>1</v>
      </c>
      <c r="AH3">
        <f>VLOOKUP(Table15[[#Headers],[RUT]],Table2[#All],4,FALSE)*Table112[[#This Row],[RUT]]</f>
        <v>0</v>
      </c>
      <c r="AI3">
        <f>VLOOKUP(Table15[[#Headers],[SCA]],Table2[#All],4,FALSE)*Table112[[#This Row],[SCA]]</f>
        <v>0.6</v>
      </c>
      <c r="AJ3">
        <f>VLOOKUP(Table15[[#Headers],[SIL]],Table2[#All],4,FALSE)*Table112[[#This Row],[SIL]]</f>
        <v>0.8</v>
      </c>
      <c r="AK3">
        <f>VLOOKUP(Table15[[#Headers],[SLV]],Table2[#All],4,FALSE)*Table112[[#This Row],[SLV]]</f>
        <v>0.66666666666666663</v>
      </c>
      <c r="AL3">
        <f>VLOOKUP(Table15[[#Headers],[TAN]],Table2[#All],4,FALSE)*Table112[[#This Row],[TAN]]</f>
        <v>0.8</v>
      </c>
      <c r="AM3">
        <f>VLOOKUP(Table15[[#Headers],[TEL]],Table2[#All],4,FALSE)*Table112[[#This Row],[TEL]]</f>
        <v>0</v>
      </c>
      <c r="AN3">
        <f>VLOOKUP(Table15[[#Headers],[TIN]],Table2[#All],4,FALSE)*Table112[[#This Row],[TIN]]</f>
        <v>0</v>
      </c>
      <c r="AO3">
        <f>VLOOKUP(Table15[[#Headers],[TIT]],Table2[#All],4,FALSE)*Table112[[#This Row],[TIT]]</f>
        <v>0.8</v>
      </c>
      <c r="AP3">
        <f>VLOOKUP(Table15[[#Headers],[TUN]],Table2[#All],4,FALSE)*Table112[[#This Row],[TUN]]</f>
        <v>0</v>
      </c>
      <c r="AQ3">
        <f>VLOOKUP(Table15[[#Headers],[URA]],Table2[#All],4,FALSE)*Table112[[#This Row],[URA]]</f>
        <v>0.5</v>
      </c>
      <c r="AR3">
        <f>VLOOKUP(Table15[[#Headers],[VAN]],Table2[#All],4,FALSE)*Table112[[#This Row],[VAN]]</f>
        <v>0.6</v>
      </c>
      <c r="AS3">
        <f>VLOOKUP(Table15[[#Headers],[ZIN]],Table2[#All],4,FALSE)*Table112[[#This Row],[ZIN]]</f>
        <v>0.8</v>
      </c>
      <c r="AT3">
        <f>VLOOKUP(Table15[[#Headers],[ZIR]],Table2[#All],4,FALSE)*Table112[[#This Row],[ZIR]]</f>
        <v>0.8</v>
      </c>
      <c r="AU3">
        <f>VLOOKUP(Table15[[#Headers],[REE]],Table2[#All],4,FALSE)*Table112[[#This Row],[REE]]</f>
        <v>0.30769230769230771</v>
      </c>
      <c r="AV3">
        <f t="shared" si="0"/>
        <v>18.17912087912088</v>
      </c>
    </row>
    <row r="4" spans="1:48">
      <c r="A4" t="s">
        <v>541</v>
      </c>
      <c r="B4">
        <f>VLOOKUP(Table15[[#Headers],[ALU]],Table2[#All],4,FALSE)*Table112[[#This Row],[ALU]]</f>
        <v>0</v>
      </c>
      <c r="C4">
        <f>VLOOKUP(Table15[[#Headers],[ANT]],Table2[#All],4,FALSE)*Table112[[#This Row],[ANT]]</f>
        <v>0.66666666666666663</v>
      </c>
      <c r="D4">
        <f>VLOOKUP(Table15[[#Headers],[ARS]],Table2[#All],4,FALSE)</f>
        <v>0.8</v>
      </c>
      <c r="E4">
        <f>VLOOKUP(Table15[[#Headers],[BAR]],Table2[#All],4,FALSE)*Table112[[#This Row],[BAR]]</f>
        <v>0</v>
      </c>
      <c r="F4">
        <f>VLOOKUP(Table15[[#Headers],[BER]],Table2[#All],4,FALSE)*Table112[[#This Row],[BER]]</f>
        <v>0</v>
      </c>
      <c r="G4">
        <f>VLOOKUP(Table15[[#Headers],[BIS]],Table2[#All],4,FALSE)*Table112[[#This Row],[BIS]]</f>
        <v>0</v>
      </c>
      <c r="H4">
        <f>VLOOKUP(Table15[[#Headers],[BOR]],Table2[#All],4,FALSE)*Table112[[#This Row],[BOR]]</f>
        <v>0.8</v>
      </c>
      <c r="I4">
        <f>VLOOKUP(Table15[[#Headers],[CES]],Table2[#All],4,FALSE)*Table112[[#This Row],[CES]]</f>
        <v>0</v>
      </c>
      <c r="J4">
        <f>VLOOKUP(Table15[[#Headers],[CHR]],Table2[#All],4,FALSE)*Table112[[#This Row],[CHR]]</f>
        <v>0</v>
      </c>
      <c r="K4">
        <f>VLOOKUP(Table15[[#Headers],[COB]],Table2[#All],4,FALSE)*Table112[[#This Row],[COB]]</f>
        <v>0</v>
      </c>
      <c r="L4">
        <f>VLOOKUP(Table15[[#Headers],[COP]],Table2[#All],4,FALSE)*Table112[[#This Row],[COP]]</f>
        <v>0.5714285714285714</v>
      </c>
      <c r="M4">
        <f>VLOOKUP(Table15[[#Headers],[FLU]],Table2[#All],4,FALSE)*Table112[[#This Row],[FLU]]</f>
        <v>0</v>
      </c>
      <c r="N4">
        <f>VLOOKUP(Table15[[#Headers],[GAL]],Table2[#All],4,FALSE)*Table112[[#This Row],[GAL]]</f>
        <v>0</v>
      </c>
      <c r="O4">
        <f>VLOOKUP(Table15[[#Headers],[GER]],Table2[#All],4,FALSE)*Table112[[#This Row],[GER]]</f>
        <v>0.8</v>
      </c>
      <c r="P4">
        <f>VLOOKUP(Table15[[#Headers],[GRA]],Table2[#All],4,FALSE)*Table112[[#This Row],[GRA]]</f>
        <v>0</v>
      </c>
      <c r="Q4">
        <f>VLOOKUP(Table15[[#Headers],[HAF]],Table2[#All],4,FALSE)*Table112[[#This Row],[HAF]]</f>
        <v>0</v>
      </c>
      <c r="R4">
        <f>VLOOKUP(Table15[[#Headers],[IND]],Table2[#All],4,FALSE)*Table112[[#This Row],[IND]]</f>
        <v>0</v>
      </c>
      <c r="S4">
        <f>VLOOKUP(Table15[[#Headers],[IRI]],Table2[#All],4,FALSE)*Table112[[#This Row],[IRI]]</f>
        <v>1</v>
      </c>
      <c r="T4">
        <f>VLOOKUP(Table15[[#Headers],[LED]],Table2[#All],4,FALSE)*Table112[[#This Row],[LED]]</f>
        <v>0</v>
      </c>
      <c r="U4">
        <f>VLOOKUP(Table15[[#Headers],[LIT]],Table2[#All],4,FALSE)*Table112[[#This Row],[LIT]]</f>
        <v>0</v>
      </c>
      <c r="V4">
        <f>VLOOKUP(Table15[[#Headers],[MAG]],Table2[#All],4,FALSE)*Table112[[#This Row],[MAG]]</f>
        <v>0.8</v>
      </c>
      <c r="W4">
        <f>VLOOKUP(Table15[[#Headers],[MAN]],Table2[#All],4,FALSE)*Table112[[#This Row],[MAN]]</f>
        <v>0</v>
      </c>
      <c r="X4">
        <f>VLOOKUP(Table15[[#Headers],[MCO]],Table2[#All],4,FALSE)*Table112[[#This Row],[MCO]]</f>
        <v>0.8</v>
      </c>
      <c r="Y4">
        <f>VLOOKUP(Table15[[#Headers],[NIC]],Table2[#All],4,FALSE)*Table112[[#This Row],[NIC]]</f>
        <v>0.66666666666666663</v>
      </c>
      <c r="Z4">
        <f>VLOOKUP(Table15[[#Headers],[NIO]],Table2[#All],4,FALSE)*Table112[[#This Row],[NIO]]</f>
        <v>0</v>
      </c>
      <c r="AA4">
        <f>VLOOKUP(Table15[[#Headers],[PAL]],Table2[#All],4,FALSE)*Table112[[#This Row],[PAL]]</f>
        <v>1</v>
      </c>
      <c r="AB4">
        <f>VLOOKUP(Table15[[#Headers],[PHO]],Table2[#All],4,FALSE)*Table112[[#This Row],[PHO]]</f>
        <v>0</v>
      </c>
      <c r="AC4">
        <f>VLOOKUP(Table15[[#Headers],[PLA]],Table2[#All],4,FALSE)*Table112[[#This Row],[PLA]]</f>
        <v>1</v>
      </c>
      <c r="AD4">
        <f>VLOOKUP(Table15[[#Headers],[POT]],Table2[#All],4,FALSE)*Table112[[#This Row],[POT]]</f>
        <v>0.6</v>
      </c>
      <c r="AE4">
        <f>VLOOKUP(Table15[[#Headers],[RHE]],Table2[#All],4,FALSE)*Table112[[#This Row],[RHE]]</f>
        <v>0</v>
      </c>
      <c r="AF4">
        <f>VLOOKUP(Table15[[#Headers],[RHO]],Table2[#All],4,FALSE)*Table112[[#This Row],[RHO]]</f>
        <v>1.3333333333333333</v>
      </c>
      <c r="AG4">
        <f>VLOOKUP(Table15[[#Headers],[RUB]],Table2[#All],4,FALSE)*Table112[[#This Row],[RUB]]</f>
        <v>0</v>
      </c>
      <c r="AH4">
        <f>VLOOKUP(Table15[[#Headers],[RUT]],Table2[#All],4,FALSE)*Table112[[#This Row],[RUT]]</f>
        <v>1.3333333333333333</v>
      </c>
      <c r="AI4">
        <f>VLOOKUP(Table15[[#Headers],[SCA]],Table2[#All],4,FALSE)*Table112[[#This Row],[SCA]]</f>
        <v>0.6</v>
      </c>
      <c r="AJ4">
        <f>VLOOKUP(Table15[[#Headers],[SIL]],Table2[#All],4,FALSE)*Table112[[#This Row],[SIL]]</f>
        <v>0</v>
      </c>
      <c r="AK4">
        <f>VLOOKUP(Table15[[#Headers],[SLV]],Table2[#All],4,FALSE)*Table112[[#This Row],[SLV]]</f>
        <v>0</v>
      </c>
      <c r="AL4">
        <f>VLOOKUP(Table15[[#Headers],[TAN]],Table2[#All],4,FALSE)*Table112[[#This Row],[TAN]]</f>
        <v>0</v>
      </c>
      <c r="AM4">
        <f>VLOOKUP(Table15[[#Headers],[TEL]],Table2[#All],4,FALSE)*Table112[[#This Row],[TEL]]</f>
        <v>0</v>
      </c>
      <c r="AN4">
        <f>VLOOKUP(Table15[[#Headers],[TIN]],Table2[#All],4,FALSE)*Table112[[#This Row],[TIN]]</f>
        <v>0</v>
      </c>
      <c r="AO4">
        <f>VLOOKUP(Table15[[#Headers],[TIT]],Table2[#All],4,FALSE)*Table112[[#This Row],[TIT]]</f>
        <v>0</v>
      </c>
      <c r="AP4">
        <f>VLOOKUP(Table15[[#Headers],[TUN]],Table2[#All],4,FALSE)*Table112[[#This Row],[TUN]]</f>
        <v>0.8</v>
      </c>
      <c r="AQ4">
        <f>VLOOKUP(Table15[[#Headers],[URA]],Table2[#All],4,FALSE)*Table112[[#This Row],[URA]]</f>
        <v>0</v>
      </c>
      <c r="AR4">
        <f>VLOOKUP(Table15[[#Headers],[VAN]],Table2[#All],4,FALSE)*Table112[[#This Row],[VAN]]</f>
        <v>0.6</v>
      </c>
      <c r="AS4">
        <f>VLOOKUP(Table15[[#Headers],[ZIN]],Table2[#All],4,FALSE)*Table112[[#This Row],[ZIN]]</f>
        <v>0</v>
      </c>
      <c r="AT4">
        <f>VLOOKUP(Table15[[#Headers],[ZIR]],Table2[#All],4,FALSE)*Table112[[#This Row],[ZIR]]</f>
        <v>0</v>
      </c>
      <c r="AU4">
        <f>VLOOKUP(Table15[[#Headers],[REE]],Table2[#All],4,FALSE)*Table112[[#This Row],[REE]]</f>
        <v>0.30769230769230771</v>
      </c>
      <c r="AV4">
        <f t="shared" si="0"/>
        <v>14.479120879120881</v>
      </c>
    </row>
    <row r="5" spans="1:48">
      <c r="A5" t="s">
        <v>654</v>
      </c>
      <c r="B5">
        <f>VLOOKUP(Table15[[#Headers],[ALU]],Table2[#All],4,FALSE)*Table112[[#This Row],[ALU]]</f>
        <v>0</v>
      </c>
      <c r="C5">
        <f>VLOOKUP(Table15[[#Headers],[ANT]],Table2[#All],4,FALSE)*Table112[[#This Row],[ANT]]</f>
        <v>0</v>
      </c>
      <c r="D5">
        <f>VLOOKUP(Table15[[#Headers],[ARS]],Table2[#All],4,FALSE)</f>
        <v>0.8</v>
      </c>
      <c r="E5">
        <f>VLOOKUP(Table15[[#Headers],[BAR]],Table2[#All],4,FALSE)*Table112[[#This Row],[BAR]]</f>
        <v>0</v>
      </c>
      <c r="F5">
        <f>VLOOKUP(Table15[[#Headers],[BER]],Table2[#All],4,FALSE)*Table112[[#This Row],[BER]]</f>
        <v>0</v>
      </c>
      <c r="G5">
        <f>VLOOKUP(Table15[[#Headers],[BIS]],Table2[#All],4,FALSE)*Table112[[#This Row],[BIS]]</f>
        <v>0</v>
      </c>
      <c r="H5">
        <f>VLOOKUP(Table15[[#Headers],[BOR]],Table2[#All],4,FALSE)*Table112[[#This Row],[BOR]]</f>
        <v>0</v>
      </c>
      <c r="I5">
        <f>VLOOKUP(Table15[[#Headers],[CES]],Table2[#All],4,FALSE)*Table112[[#This Row],[CES]]</f>
        <v>1</v>
      </c>
      <c r="J5">
        <f>VLOOKUP(Table15[[#Headers],[CHR]],Table2[#All],4,FALSE)*Table112[[#This Row],[CHR]]</f>
        <v>0</v>
      </c>
      <c r="K5">
        <f>VLOOKUP(Table15[[#Headers],[COB]],Table2[#All],4,FALSE)*Table112[[#This Row],[COB]]</f>
        <v>0.8</v>
      </c>
      <c r="L5">
        <f>VLOOKUP(Table15[[#Headers],[COP]],Table2[#All],4,FALSE)*Table112[[#This Row],[COP]]</f>
        <v>0</v>
      </c>
      <c r="M5">
        <f>VLOOKUP(Table15[[#Headers],[FLU]],Table2[#All],4,FALSE)*Table112[[#This Row],[FLU]]</f>
        <v>0</v>
      </c>
      <c r="N5">
        <f>VLOOKUP(Table15[[#Headers],[GAL]],Table2[#All],4,FALSE)*Table112[[#This Row],[GAL]]</f>
        <v>0</v>
      </c>
      <c r="O5">
        <f>VLOOKUP(Table15[[#Headers],[GER]],Table2[#All],4,FALSE)*Table112[[#This Row],[GER]]</f>
        <v>0.8</v>
      </c>
      <c r="P5">
        <f>VLOOKUP(Table15[[#Headers],[GRA]],Table2[#All],4,FALSE)*Table112[[#This Row],[GRA]]</f>
        <v>0</v>
      </c>
      <c r="Q5">
        <f>VLOOKUP(Table15[[#Headers],[HAF]],Table2[#All],4,FALSE)*Table112[[#This Row],[HAF]]</f>
        <v>0</v>
      </c>
      <c r="R5">
        <f>VLOOKUP(Table15[[#Headers],[IND]],Table2[#All],4,FALSE)*Table112[[#This Row],[IND]]</f>
        <v>0.8</v>
      </c>
      <c r="S5">
        <f>VLOOKUP(Table15[[#Headers],[IRI]],Table2[#All],4,FALSE)*Table112[[#This Row],[IRI]]</f>
        <v>1</v>
      </c>
      <c r="T5">
        <f>VLOOKUP(Table15[[#Headers],[LED]],Table2[#All],4,FALSE)*Table112[[#This Row],[LED]]</f>
        <v>0</v>
      </c>
      <c r="U5">
        <f>VLOOKUP(Table15[[#Headers],[LIT]],Table2[#All],4,FALSE)*Table112[[#This Row],[LIT]]</f>
        <v>0.66666666666666663</v>
      </c>
      <c r="V5">
        <f>VLOOKUP(Table15[[#Headers],[MAG]],Table2[#All],4,FALSE)*Table112[[#This Row],[MAG]]</f>
        <v>0</v>
      </c>
      <c r="W5">
        <f>VLOOKUP(Table15[[#Headers],[MAN]],Table2[#All],4,FALSE)*Table112[[#This Row],[MAN]]</f>
        <v>0</v>
      </c>
      <c r="X5">
        <f>VLOOKUP(Table15[[#Headers],[MCO]],Table2[#All],4,FALSE)*Table112[[#This Row],[MCO]]</f>
        <v>0.8</v>
      </c>
      <c r="Y5">
        <f>VLOOKUP(Table15[[#Headers],[NIC]],Table2[#All],4,FALSE)*Table112[[#This Row],[NIC]]</f>
        <v>0.66666666666666663</v>
      </c>
      <c r="Z5">
        <f>VLOOKUP(Table15[[#Headers],[NIO]],Table2[#All],4,FALSE)*Table112[[#This Row],[NIO]]</f>
        <v>1.3333333333333333</v>
      </c>
      <c r="AA5">
        <f>VLOOKUP(Table15[[#Headers],[PAL]],Table2[#All],4,FALSE)*Table112[[#This Row],[PAL]]</f>
        <v>1</v>
      </c>
      <c r="AB5">
        <f>VLOOKUP(Table15[[#Headers],[PHO]],Table2[#All],4,FALSE)*Table112[[#This Row],[PHO]]</f>
        <v>0</v>
      </c>
      <c r="AC5">
        <f>VLOOKUP(Table15[[#Headers],[PLA]],Table2[#All],4,FALSE)*Table112[[#This Row],[PLA]]</f>
        <v>1</v>
      </c>
      <c r="AD5">
        <f>VLOOKUP(Table15[[#Headers],[POT]],Table2[#All],4,FALSE)*Table112[[#This Row],[POT]]</f>
        <v>0.6</v>
      </c>
      <c r="AE5">
        <f>VLOOKUP(Table15[[#Headers],[RHE]],Table2[#All],4,FALSE)*Table112[[#This Row],[RHE]]</f>
        <v>0</v>
      </c>
      <c r="AF5">
        <f>VLOOKUP(Table15[[#Headers],[RHO]],Table2[#All],4,FALSE)*Table112[[#This Row],[RHO]]</f>
        <v>0</v>
      </c>
      <c r="AG5">
        <f>VLOOKUP(Table15[[#Headers],[RUB]],Table2[#All],4,FALSE)*Table112[[#This Row],[RUB]]</f>
        <v>1</v>
      </c>
      <c r="AH5">
        <f>VLOOKUP(Table15[[#Headers],[RUT]],Table2[#All],4,FALSE)*Table112[[#This Row],[RUT]]</f>
        <v>0</v>
      </c>
      <c r="AI5">
        <f>VLOOKUP(Table15[[#Headers],[SCA]],Table2[#All],4,FALSE)*Table112[[#This Row],[SCA]]</f>
        <v>0</v>
      </c>
      <c r="AJ5">
        <f>VLOOKUP(Table15[[#Headers],[SIL]],Table2[#All],4,FALSE)*Table112[[#This Row],[SIL]]</f>
        <v>0</v>
      </c>
      <c r="AK5">
        <f>VLOOKUP(Table15[[#Headers],[SLV]],Table2[#All],4,FALSE)*Table112[[#This Row],[SLV]]</f>
        <v>0</v>
      </c>
      <c r="AL5">
        <f>VLOOKUP(Table15[[#Headers],[TAN]],Table2[#All],4,FALSE)*Table112[[#This Row],[TAN]]</f>
        <v>0</v>
      </c>
      <c r="AM5">
        <f>VLOOKUP(Table15[[#Headers],[TEL]],Table2[#All],4,FALSE)*Table112[[#This Row],[TEL]]</f>
        <v>0.8</v>
      </c>
      <c r="AN5">
        <f>VLOOKUP(Table15[[#Headers],[TIN]],Table2[#All],4,FALSE)*Table112[[#This Row],[TIN]]</f>
        <v>0</v>
      </c>
      <c r="AO5">
        <f>VLOOKUP(Table15[[#Headers],[TIT]],Table2[#All],4,FALSE)*Table112[[#This Row],[TIT]]</f>
        <v>0</v>
      </c>
      <c r="AP5">
        <f>VLOOKUP(Table15[[#Headers],[TUN]],Table2[#All],4,FALSE)*Table112[[#This Row],[TUN]]</f>
        <v>0</v>
      </c>
      <c r="AQ5">
        <f>VLOOKUP(Table15[[#Headers],[URA]],Table2[#All],4,FALSE)*Table112[[#This Row],[URA]]</f>
        <v>0.5</v>
      </c>
      <c r="AR5">
        <f>VLOOKUP(Table15[[#Headers],[VAN]],Table2[#All],4,FALSE)*Table112[[#This Row],[VAN]]</f>
        <v>0</v>
      </c>
      <c r="AS5">
        <f>VLOOKUP(Table15[[#Headers],[ZIN]],Table2[#All],4,FALSE)*Table112[[#This Row],[ZIN]]</f>
        <v>0</v>
      </c>
      <c r="AT5">
        <f>VLOOKUP(Table15[[#Headers],[ZIR]],Table2[#All],4,FALSE)*Table112[[#This Row],[ZIR]]</f>
        <v>0</v>
      </c>
      <c r="AU5">
        <f>VLOOKUP(Table15[[#Headers],[REE]],Table2[#All],4,FALSE)*Table112[[#This Row],[REE]]</f>
        <v>0.30769230769230771</v>
      </c>
      <c r="AV5">
        <f t="shared" si="0"/>
        <v>13.874358974358977</v>
      </c>
    </row>
    <row r="6" spans="1:48">
      <c r="A6" t="s">
        <v>246</v>
      </c>
      <c r="B6">
        <f>VLOOKUP(Table15[[#Headers],[ALU]],Table2[#All],4,FALSE)*Table112[[#This Row],[ALU]]</f>
        <v>0</v>
      </c>
      <c r="C6">
        <f>VLOOKUP(Table15[[#Headers],[ANT]],Table2[#All],4,FALSE)*Table112[[#This Row],[ANT]]</f>
        <v>0</v>
      </c>
      <c r="D6">
        <f>VLOOKUP(Table15[[#Headers],[ARS]],Table2[#All],4,FALSE)</f>
        <v>0.8</v>
      </c>
      <c r="E6">
        <f>VLOOKUP(Table15[[#Headers],[BAR]],Table2[#All],4,FALSE)*Table112[[#This Row],[BAR]]</f>
        <v>0</v>
      </c>
      <c r="F6">
        <f>VLOOKUP(Table15[[#Headers],[BER]],Table2[#All],4,FALSE)*Table112[[#This Row],[BER]]</f>
        <v>0</v>
      </c>
      <c r="G6">
        <f>VLOOKUP(Table15[[#Headers],[BIS]],Table2[#All],4,FALSE)*Table112[[#This Row],[BIS]]</f>
        <v>0</v>
      </c>
      <c r="H6">
        <f>VLOOKUP(Table15[[#Headers],[BOR]],Table2[#All],4,FALSE)*Table112[[#This Row],[BOR]]</f>
        <v>0</v>
      </c>
      <c r="I6">
        <f>VLOOKUP(Table15[[#Headers],[CES]],Table2[#All],4,FALSE)*Table112[[#This Row],[CES]]</f>
        <v>0</v>
      </c>
      <c r="J6">
        <f>VLOOKUP(Table15[[#Headers],[CHR]],Table2[#All],4,FALSE)*Table112[[#This Row],[CHR]]</f>
        <v>0.8</v>
      </c>
      <c r="K6">
        <f>VLOOKUP(Table15[[#Headers],[COB]],Table2[#All],4,FALSE)*Table112[[#This Row],[COB]]</f>
        <v>0</v>
      </c>
      <c r="L6">
        <f>VLOOKUP(Table15[[#Headers],[COP]],Table2[#All],4,FALSE)*Table112[[#This Row],[COP]]</f>
        <v>0</v>
      </c>
      <c r="M6">
        <f>VLOOKUP(Table15[[#Headers],[FLU]],Table2[#All],4,FALSE)*Table112[[#This Row],[FLU]]</f>
        <v>0.8</v>
      </c>
      <c r="N6">
        <f>VLOOKUP(Table15[[#Headers],[GAL]],Table2[#All],4,FALSE)*Table112[[#This Row],[GAL]]</f>
        <v>0</v>
      </c>
      <c r="O6">
        <f>VLOOKUP(Table15[[#Headers],[GER]],Table2[#All],4,FALSE)*Table112[[#This Row],[GER]]</f>
        <v>0</v>
      </c>
      <c r="P6">
        <f>VLOOKUP(Table15[[#Headers],[GRA]],Table2[#All],4,FALSE)*Table112[[#This Row],[GRA]]</f>
        <v>0</v>
      </c>
      <c r="Q6">
        <f>VLOOKUP(Table15[[#Headers],[HAF]],Table2[#All],4,FALSE)*Table112[[#This Row],[HAF]]</f>
        <v>0.8</v>
      </c>
      <c r="R6">
        <f>VLOOKUP(Table15[[#Headers],[IND]],Table2[#All],4,FALSE)*Table112[[#This Row],[IND]]</f>
        <v>0</v>
      </c>
      <c r="S6">
        <f>VLOOKUP(Table15[[#Headers],[IRI]],Table2[#All],4,FALSE)*Table112[[#This Row],[IRI]]</f>
        <v>1</v>
      </c>
      <c r="T6">
        <f>VLOOKUP(Table15[[#Headers],[LED]],Table2[#All],4,FALSE)*Table112[[#This Row],[LED]]</f>
        <v>0</v>
      </c>
      <c r="U6">
        <f>VLOOKUP(Table15[[#Headers],[LIT]],Table2[#All],4,FALSE)*Table112[[#This Row],[LIT]]</f>
        <v>0</v>
      </c>
      <c r="V6">
        <f>VLOOKUP(Table15[[#Headers],[MAG]],Table2[#All],4,FALSE)*Table112[[#This Row],[MAG]]</f>
        <v>0</v>
      </c>
      <c r="W6">
        <f>VLOOKUP(Table15[[#Headers],[MAN]],Table2[#All],4,FALSE)*Table112[[#This Row],[MAN]]</f>
        <v>0.8</v>
      </c>
      <c r="X6">
        <f>VLOOKUP(Table15[[#Headers],[MCO]],Table2[#All],4,FALSE)*Table112[[#This Row],[MCO]]</f>
        <v>0</v>
      </c>
      <c r="Y6">
        <f>VLOOKUP(Table15[[#Headers],[NIC]],Table2[#All],4,FALSE)*Table112[[#This Row],[NIC]]</f>
        <v>0</v>
      </c>
      <c r="Z6">
        <f>VLOOKUP(Table15[[#Headers],[NIO]],Table2[#All],4,FALSE)*Table112[[#This Row],[NIO]]</f>
        <v>0</v>
      </c>
      <c r="AA6">
        <f>VLOOKUP(Table15[[#Headers],[PAL]],Table2[#All],4,FALSE)*Table112[[#This Row],[PAL]]</f>
        <v>1</v>
      </c>
      <c r="AB6">
        <f>VLOOKUP(Table15[[#Headers],[PHO]],Table2[#All],4,FALSE)*Table112[[#This Row],[PHO]]</f>
        <v>0</v>
      </c>
      <c r="AC6">
        <f>VLOOKUP(Table15[[#Headers],[PLA]],Table2[#All],4,FALSE)*Table112[[#This Row],[PLA]]</f>
        <v>1</v>
      </c>
      <c r="AD6">
        <f>VLOOKUP(Table15[[#Headers],[POT]],Table2[#All],4,FALSE)*Table112[[#This Row],[POT]]</f>
        <v>0</v>
      </c>
      <c r="AE6">
        <f>VLOOKUP(Table15[[#Headers],[RHE]],Table2[#All],4,FALSE)*Table112[[#This Row],[RHE]]</f>
        <v>0</v>
      </c>
      <c r="AF6">
        <f>VLOOKUP(Table15[[#Headers],[RHO]],Table2[#All],4,FALSE)*Table112[[#This Row],[RHO]]</f>
        <v>1.3333333333333333</v>
      </c>
      <c r="AG6">
        <f>VLOOKUP(Table15[[#Headers],[RUB]],Table2[#All],4,FALSE)*Table112[[#This Row],[RUB]]</f>
        <v>0</v>
      </c>
      <c r="AH6">
        <f>VLOOKUP(Table15[[#Headers],[RUT]],Table2[#All],4,FALSE)*Table112[[#This Row],[RUT]]</f>
        <v>1.3333333333333333</v>
      </c>
      <c r="AI6">
        <f>VLOOKUP(Table15[[#Headers],[SCA]],Table2[#All],4,FALSE)*Table112[[#This Row],[SCA]]</f>
        <v>0</v>
      </c>
      <c r="AJ6">
        <f>VLOOKUP(Table15[[#Headers],[SIL]],Table2[#All],4,FALSE)*Table112[[#This Row],[SIL]]</f>
        <v>0</v>
      </c>
      <c r="AK6">
        <f>VLOOKUP(Table15[[#Headers],[SLV]],Table2[#All],4,FALSE)*Table112[[#This Row],[SLV]]</f>
        <v>0</v>
      </c>
      <c r="AL6">
        <f>VLOOKUP(Table15[[#Headers],[TAN]],Table2[#All],4,FALSE)*Table112[[#This Row],[TAN]]</f>
        <v>0</v>
      </c>
      <c r="AM6">
        <f>VLOOKUP(Table15[[#Headers],[TEL]],Table2[#All],4,FALSE)*Table112[[#This Row],[TEL]]</f>
        <v>0</v>
      </c>
      <c r="AN6">
        <f>VLOOKUP(Table15[[#Headers],[TIN]],Table2[#All],4,FALSE)*Table112[[#This Row],[TIN]]</f>
        <v>0</v>
      </c>
      <c r="AO6">
        <f>VLOOKUP(Table15[[#Headers],[TIT]],Table2[#All],4,FALSE)*Table112[[#This Row],[TIT]]</f>
        <v>0.8</v>
      </c>
      <c r="AP6">
        <f>VLOOKUP(Table15[[#Headers],[TUN]],Table2[#All],4,FALSE)*Table112[[#This Row],[TUN]]</f>
        <v>0</v>
      </c>
      <c r="AQ6">
        <f>VLOOKUP(Table15[[#Headers],[URA]],Table2[#All],4,FALSE)*Table112[[#This Row],[URA]]</f>
        <v>0</v>
      </c>
      <c r="AR6">
        <f>VLOOKUP(Table15[[#Headers],[VAN]],Table2[#All],4,FALSE)*Table112[[#This Row],[VAN]]</f>
        <v>0.6</v>
      </c>
      <c r="AS6">
        <f>VLOOKUP(Table15[[#Headers],[ZIN]],Table2[#All],4,FALSE)*Table112[[#This Row],[ZIN]]</f>
        <v>0</v>
      </c>
      <c r="AT6">
        <f>VLOOKUP(Table15[[#Headers],[ZIR]],Table2[#All],4,FALSE)*Table112[[#This Row],[ZIR]]</f>
        <v>0.8</v>
      </c>
      <c r="AU6">
        <f>VLOOKUP(Table15[[#Headers],[REE]],Table2[#All],4,FALSE)*Table112[[#This Row],[REE]]</f>
        <v>0.30769230769230771</v>
      </c>
      <c r="AV6">
        <f t="shared" si="0"/>
        <v>12.174358974358977</v>
      </c>
    </row>
    <row r="7" spans="1:48">
      <c r="A7" t="s">
        <v>672</v>
      </c>
      <c r="B7">
        <f>VLOOKUP(Table15[[#Headers],[ALU]],Table2[#All],4,FALSE)*Table112[[#This Row],[ALU]]</f>
        <v>0</v>
      </c>
      <c r="C7">
        <f>VLOOKUP(Table15[[#Headers],[ANT]],Table2[#All],4,FALSE)*Table112[[#This Row],[ANT]]</f>
        <v>0</v>
      </c>
      <c r="D7">
        <f>VLOOKUP(Table15[[#Headers],[ARS]],Table2[#All],4,FALSE)</f>
        <v>0.8</v>
      </c>
      <c r="E7">
        <f>VLOOKUP(Table15[[#Headers],[BAR]],Table2[#All],4,FALSE)*Table112[[#This Row],[BAR]]</f>
        <v>0.8</v>
      </c>
      <c r="F7">
        <f>VLOOKUP(Table15[[#Headers],[BER]],Table2[#All],4,FALSE)*Table112[[#This Row],[BER]]</f>
        <v>0.8</v>
      </c>
      <c r="G7">
        <f>VLOOKUP(Table15[[#Headers],[BIS]],Table2[#All],4,FALSE)*Table112[[#This Row],[BIS]]</f>
        <v>0</v>
      </c>
      <c r="H7">
        <f>VLOOKUP(Table15[[#Headers],[BOR]],Table2[#All],4,FALSE)*Table112[[#This Row],[BOR]]</f>
        <v>0.8</v>
      </c>
      <c r="I7">
        <f>VLOOKUP(Table15[[#Headers],[CES]],Table2[#All],4,FALSE)*Table112[[#This Row],[CES]]</f>
        <v>0</v>
      </c>
      <c r="J7">
        <f>VLOOKUP(Table15[[#Headers],[CHR]],Table2[#All],4,FALSE)*Table112[[#This Row],[CHR]]</f>
        <v>0</v>
      </c>
      <c r="K7">
        <f>VLOOKUP(Table15[[#Headers],[COB]],Table2[#All],4,FALSE)*Table112[[#This Row],[COB]]</f>
        <v>0</v>
      </c>
      <c r="L7">
        <f>VLOOKUP(Table15[[#Headers],[COP]],Table2[#All],4,FALSE)*Table112[[#This Row],[COP]]</f>
        <v>0.5714285714285714</v>
      </c>
      <c r="M7">
        <f>VLOOKUP(Table15[[#Headers],[FLU]],Table2[#All],4,FALSE)*Table112[[#This Row],[FLU]]</f>
        <v>0</v>
      </c>
      <c r="N7">
        <f>VLOOKUP(Table15[[#Headers],[GAL]],Table2[#All],4,FALSE)*Table112[[#This Row],[GAL]]</f>
        <v>0</v>
      </c>
      <c r="O7">
        <f>VLOOKUP(Table15[[#Headers],[GER]],Table2[#All],4,FALSE)*Table112[[#This Row],[GER]]</f>
        <v>0.8</v>
      </c>
      <c r="P7">
        <f>VLOOKUP(Table15[[#Headers],[GRA]],Table2[#All],4,FALSE)*Table112[[#This Row],[GRA]]</f>
        <v>0</v>
      </c>
      <c r="Q7">
        <f>VLOOKUP(Table15[[#Headers],[HAF]],Table2[#All],4,FALSE)*Table112[[#This Row],[HAF]]</f>
        <v>0.8</v>
      </c>
      <c r="R7">
        <f>VLOOKUP(Table15[[#Headers],[IND]],Table2[#All],4,FALSE)*Table112[[#This Row],[IND]]</f>
        <v>0</v>
      </c>
      <c r="S7">
        <f>VLOOKUP(Table15[[#Headers],[IRI]],Table2[#All],4,FALSE)*Table112[[#This Row],[IRI]]</f>
        <v>0</v>
      </c>
      <c r="T7">
        <f>VLOOKUP(Table15[[#Headers],[LED]],Table2[#All],4,FALSE)*Table112[[#This Row],[LED]]</f>
        <v>0.8</v>
      </c>
      <c r="U7">
        <f>VLOOKUP(Table15[[#Headers],[LIT]],Table2[#All],4,FALSE)*Table112[[#This Row],[LIT]]</f>
        <v>0</v>
      </c>
      <c r="V7">
        <f>VLOOKUP(Table15[[#Headers],[MAG]],Table2[#All],4,FALSE)*Table112[[#This Row],[MAG]]</f>
        <v>0</v>
      </c>
      <c r="W7">
        <f>VLOOKUP(Table15[[#Headers],[MAN]],Table2[#All],4,FALSE)*Table112[[#This Row],[MAN]]</f>
        <v>0</v>
      </c>
      <c r="X7">
        <f>VLOOKUP(Table15[[#Headers],[MCO]],Table2[#All],4,FALSE)*Table112[[#This Row],[MCO]]</f>
        <v>0.8</v>
      </c>
      <c r="Y7">
        <f>VLOOKUP(Table15[[#Headers],[NIC]],Table2[#All],4,FALSE)*Table112[[#This Row],[NIC]]</f>
        <v>0</v>
      </c>
      <c r="Z7">
        <f>VLOOKUP(Table15[[#Headers],[NIO]],Table2[#All],4,FALSE)*Table112[[#This Row],[NIO]]</f>
        <v>0</v>
      </c>
      <c r="AA7">
        <f>VLOOKUP(Table15[[#Headers],[PAL]],Table2[#All],4,FALSE)*Table112[[#This Row],[PAL]]</f>
        <v>1</v>
      </c>
      <c r="AB7">
        <f>VLOOKUP(Table15[[#Headers],[PHO]],Table2[#All],4,FALSE)*Table112[[#This Row],[PHO]]</f>
        <v>0</v>
      </c>
      <c r="AC7">
        <f>VLOOKUP(Table15[[#Headers],[PLA]],Table2[#All],4,FALSE)*Table112[[#This Row],[PLA]]</f>
        <v>0</v>
      </c>
      <c r="AD7">
        <f>VLOOKUP(Table15[[#Headers],[POT]],Table2[#All],4,FALSE)*Table112[[#This Row],[POT]]</f>
        <v>0</v>
      </c>
      <c r="AE7">
        <f>VLOOKUP(Table15[[#Headers],[RHE]],Table2[#All],4,FALSE)*Table112[[#This Row],[RHE]]</f>
        <v>0.8</v>
      </c>
      <c r="AF7">
        <f>VLOOKUP(Table15[[#Headers],[RHO]],Table2[#All],4,FALSE)*Table112[[#This Row],[RHO]]</f>
        <v>0</v>
      </c>
      <c r="AG7">
        <f>VLOOKUP(Table15[[#Headers],[RUB]],Table2[#All],4,FALSE)*Table112[[#This Row],[RUB]]</f>
        <v>0</v>
      </c>
      <c r="AH7">
        <f>VLOOKUP(Table15[[#Headers],[RUT]],Table2[#All],4,FALSE)*Table112[[#This Row],[RUT]]</f>
        <v>0</v>
      </c>
      <c r="AI7">
        <f>VLOOKUP(Table15[[#Headers],[SCA]],Table2[#All],4,FALSE)*Table112[[#This Row],[SCA]]</f>
        <v>0</v>
      </c>
      <c r="AJ7">
        <f>VLOOKUP(Table15[[#Headers],[SIL]],Table2[#All],4,FALSE)*Table112[[#This Row],[SIL]]</f>
        <v>0.8</v>
      </c>
      <c r="AK7">
        <f>VLOOKUP(Table15[[#Headers],[SLV]],Table2[#All],4,FALSE)*Table112[[#This Row],[SLV]]</f>
        <v>0</v>
      </c>
      <c r="AL7">
        <f>VLOOKUP(Table15[[#Headers],[TAN]],Table2[#All],4,FALSE)*Table112[[#This Row],[TAN]]</f>
        <v>0</v>
      </c>
      <c r="AM7">
        <f>VLOOKUP(Table15[[#Headers],[TEL]],Table2[#All],4,FALSE)*Table112[[#This Row],[TEL]]</f>
        <v>0</v>
      </c>
      <c r="AN7">
        <f>VLOOKUP(Table15[[#Headers],[TIN]],Table2[#All],4,FALSE)*Table112[[#This Row],[TIN]]</f>
        <v>0</v>
      </c>
      <c r="AO7">
        <f>VLOOKUP(Table15[[#Headers],[TIT]],Table2[#All],4,FALSE)*Table112[[#This Row],[TIT]]</f>
        <v>0</v>
      </c>
      <c r="AP7">
        <f>VLOOKUP(Table15[[#Headers],[TUN]],Table2[#All],4,FALSE)*Table112[[#This Row],[TUN]]</f>
        <v>0</v>
      </c>
      <c r="AQ7">
        <f>VLOOKUP(Table15[[#Headers],[URA]],Table2[#All],4,FALSE)*Table112[[#This Row],[URA]]</f>
        <v>0</v>
      </c>
      <c r="AR7">
        <f>VLOOKUP(Table15[[#Headers],[VAN]],Table2[#All],4,FALSE)*Table112[[#This Row],[VAN]]</f>
        <v>0</v>
      </c>
      <c r="AS7">
        <f>VLOOKUP(Table15[[#Headers],[ZIN]],Table2[#All],4,FALSE)*Table112[[#This Row],[ZIN]]</f>
        <v>0</v>
      </c>
      <c r="AT7">
        <f>VLOOKUP(Table15[[#Headers],[ZIR]],Table2[#All],4,FALSE)*Table112[[#This Row],[ZIR]]</f>
        <v>0.8</v>
      </c>
      <c r="AU7">
        <f>VLOOKUP(Table15[[#Headers],[REE]],Table2[#All],4,FALSE)*Table112[[#This Row],[REE]]</f>
        <v>0.30769230769230771</v>
      </c>
      <c r="AV7">
        <f t="shared" si="0"/>
        <v>10.67912087912088</v>
      </c>
    </row>
    <row r="8" spans="1:48">
      <c r="A8" t="s">
        <v>533</v>
      </c>
      <c r="B8">
        <f>VLOOKUP(Table15[[#Headers],[ALU]],Table2[#All],4,FALSE)*Table112[[#This Row],[ALU]]</f>
        <v>0.66666666666666663</v>
      </c>
      <c r="C8">
        <f>VLOOKUP(Table15[[#Headers],[ANT]],Table2[#All],4,FALSE)*Table112[[#This Row],[ANT]]</f>
        <v>0</v>
      </c>
      <c r="D8">
        <f>VLOOKUP(Table15[[#Headers],[ARS]],Table2[#All],4,FALSE)</f>
        <v>0.8</v>
      </c>
      <c r="E8">
        <f>VLOOKUP(Table15[[#Headers],[BAR]],Table2[#All],4,FALSE)*Table112[[#This Row],[BAR]]</f>
        <v>0</v>
      </c>
      <c r="F8">
        <f>VLOOKUP(Table15[[#Headers],[BER]],Table2[#All],4,FALSE)*Table112[[#This Row],[BER]]</f>
        <v>0.8</v>
      </c>
      <c r="G8">
        <f>VLOOKUP(Table15[[#Headers],[BIS]],Table2[#All],4,FALSE)*Table112[[#This Row],[BIS]]</f>
        <v>0</v>
      </c>
      <c r="H8">
        <f>VLOOKUP(Table15[[#Headers],[BOR]],Table2[#All],4,FALSE)*Table112[[#This Row],[BOR]]</f>
        <v>0</v>
      </c>
      <c r="I8">
        <f>VLOOKUP(Table15[[#Headers],[CES]],Table2[#All],4,FALSE)*Table112[[#This Row],[CES]]</f>
        <v>0</v>
      </c>
      <c r="J8">
        <f>VLOOKUP(Table15[[#Headers],[CHR]],Table2[#All],4,FALSE)*Table112[[#This Row],[CHR]]</f>
        <v>0</v>
      </c>
      <c r="K8">
        <f>VLOOKUP(Table15[[#Headers],[COB]],Table2[#All],4,FALSE)*Table112[[#This Row],[COB]]</f>
        <v>0</v>
      </c>
      <c r="L8">
        <f>VLOOKUP(Table15[[#Headers],[COP]],Table2[#All],4,FALSE)*Table112[[#This Row],[COP]]</f>
        <v>0</v>
      </c>
      <c r="M8">
        <f>VLOOKUP(Table15[[#Headers],[FLU]],Table2[#All],4,FALSE)*Table112[[#This Row],[FLU]]</f>
        <v>0</v>
      </c>
      <c r="N8">
        <f>VLOOKUP(Table15[[#Headers],[GAL]],Table2[#All],4,FALSE)*Table112[[#This Row],[GAL]]</f>
        <v>0</v>
      </c>
      <c r="O8">
        <f>VLOOKUP(Table15[[#Headers],[GER]],Table2[#All],4,FALSE)*Table112[[#This Row],[GER]]</f>
        <v>0</v>
      </c>
      <c r="P8">
        <f>VLOOKUP(Table15[[#Headers],[GRA]],Table2[#All],4,FALSE)*Table112[[#This Row],[GRA]]</f>
        <v>0.66666666666666663</v>
      </c>
      <c r="Q8">
        <f>VLOOKUP(Table15[[#Headers],[HAF]],Table2[#All],4,FALSE)*Table112[[#This Row],[HAF]]</f>
        <v>0</v>
      </c>
      <c r="R8">
        <f>VLOOKUP(Table15[[#Headers],[IND]],Table2[#All],4,FALSE)*Table112[[#This Row],[IND]]</f>
        <v>0</v>
      </c>
      <c r="S8">
        <f>VLOOKUP(Table15[[#Headers],[IRI]],Table2[#All],4,FALSE)*Table112[[#This Row],[IRI]]</f>
        <v>0</v>
      </c>
      <c r="T8">
        <f>VLOOKUP(Table15[[#Headers],[LED]],Table2[#All],4,FALSE)*Table112[[#This Row],[LED]]</f>
        <v>0</v>
      </c>
      <c r="U8">
        <f>VLOOKUP(Table15[[#Headers],[LIT]],Table2[#All],4,FALSE)*Table112[[#This Row],[LIT]]</f>
        <v>0</v>
      </c>
      <c r="V8">
        <f>VLOOKUP(Table15[[#Headers],[MAG]],Table2[#All],4,FALSE)*Table112[[#This Row],[MAG]]</f>
        <v>0.8</v>
      </c>
      <c r="W8">
        <f>VLOOKUP(Table15[[#Headers],[MAN]],Table2[#All],4,FALSE)*Table112[[#This Row],[MAN]]</f>
        <v>0.8</v>
      </c>
      <c r="X8">
        <f>VLOOKUP(Table15[[#Headers],[MCO]],Table2[#All],4,FALSE)*Table112[[#This Row],[MCO]]</f>
        <v>0</v>
      </c>
      <c r="Y8">
        <f>VLOOKUP(Table15[[#Headers],[NIC]],Table2[#All],4,FALSE)*Table112[[#This Row],[NIC]]</f>
        <v>0.66666666666666663</v>
      </c>
      <c r="Z8">
        <f>VLOOKUP(Table15[[#Headers],[NIO]],Table2[#All],4,FALSE)*Table112[[#This Row],[NIO]]</f>
        <v>1.3333333333333333</v>
      </c>
      <c r="AA8">
        <f>VLOOKUP(Table15[[#Headers],[PAL]],Table2[#All],4,FALSE)*Table112[[#This Row],[PAL]]</f>
        <v>0</v>
      </c>
      <c r="AB8">
        <f>VLOOKUP(Table15[[#Headers],[PHO]],Table2[#All],4,FALSE)*Table112[[#This Row],[PHO]]</f>
        <v>0</v>
      </c>
      <c r="AC8">
        <f>VLOOKUP(Table15[[#Headers],[PLA]],Table2[#All],4,FALSE)*Table112[[#This Row],[PLA]]</f>
        <v>0</v>
      </c>
      <c r="AD8">
        <f>VLOOKUP(Table15[[#Headers],[POT]],Table2[#All],4,FALSE)*Table112[[#This Row],[POT]]</f>
        <v>0</v>
      </c>
      <c r="AE8">
        <f>VLOOKUP(Table15[[#Headers],[RHE]],Table2[#All],4,FALSE)*Table112[[#This Row],[RHE]]</f>
        <v>0</v>
      </c>
      <c r="AF8">
        <f>VLOOKUP(Table15[[#Headers],[RHO]],Table2[#All],4,FALSE)*Table112[[#This Row],[RHO]]</f>
        <v>0</v>
      </c>
      <c r="AG8">
        <f>VLOOKUP(Table15[[#Headers],[RUB]],Table2[#All],4,FALSE)*Table112[[#This Row],[RUB]]</f>
        <v>0</v>
      </c>
      <c r="AH8">
        <f>VLOOKUP(Table15[[#Headers],[RUT]],Table2[#All],4,FALSE)*Table112[[#This Row],[RUT]]</f>
        <v>0</v>
      </c>
      <c r="AI8">
        <f>VLOOKUP(Table15[[#Headers],[SCA]],Table2[#All],4,FALSE)*Table112[[#This Row],[SCA]]</f>
        <v>0</v>
      </c>
      <c r="AJ8">
        <f>VLOOKUP(Table15[[#Headers],[SIL]],Table2[#All],4,FALSE)*Table112[[#This Row],[SIL]]</f>
        <v>0.8</v>
      </c>
      <c r="AK8">
        <f>VLOOKUP(Table15[[#Headers],[SLV]],Table2[#All],4,FALSE)*Table112[[#This Row],[SLV]]</f>
        <v>0</v>
      </c>
      <c r="AL8">
        <f>VLOOKUP(Table15[[#Headers],[TAN]],Table2[#All],4,FALSE)*Table112[[#This Row],[TAN]]</f>
        <v>0.8</v>
      </c>
      <c r="AM8">
        <f>VLOOKUP(Table15[[#Headers],[TEL]],Table2[#All],4,FALSE)*Table112[[#This Row],[TEL]]</f>
        <v>0</v>
      </c>
      <c r="AN8">
        <f>VLOOKUP(Table15[[#Headers],[TIN]],Table2[#All],4,FALSE)*Table112[[#This Row],[TIN]]</f>
        <v>0</v>
      </c>
      <c r="AO8">
        <f>VLOOKUP(Table15[[#Headers],[TIT]],Table2[#All],4,FALSE)*Table112[[#This Row],[TIT]]</f>
        <v>0</v>
      </c>
      <c r="AP8">
        <f>VLOOKUP(Table15[[#Headers],[TUN]],Table2[#All],4,FALSE)*Table112[[#This Row],[TUN]]</f>
        <v>0</v>
      </c>
      <c r="AQ8">
        <f>VLOOKUP(Table15[[#Headers],[URA]],Table2[#All],4,FALSE)*Table112[[#This Row],[URA]]</f>
        <v>0</v>
      </c>
      <c r="AR8">
        <f>VLOOKUP(Table15[[#Headers],[VAN]],Table2[#All],4,FALSE)*Table112[[#This Row],[VAN]]</f>
        <v>0.6</v>
      </c>
      <c r="AS8">
        <f>VLOOKUP(Table15[[#Headers],[ZIN]],Table2[#All],4,FALSE)*Table112[[#This Row],[ZIN]]</f>
        <v>0</v>
      </c>
      <c r="AT8">
        <f>VLOOKUP(Table15[[#Headers],[ZIR]],Table2[#All],4,FALSE)*Table112[[#This Row],[ZIR]]</f>
        <v>0</v>
      </c>
      <c r="AU8">
        <f>VLOOKUP(Table15[[#Headers],[REE]],Table2[#All],4,FALSE)*Table112[[#This Row],[REE]]</f>
        <v>0.30769230769230771</v>
      </c>
      <c r="AV8">
        <f t="shared" si="0"/>
        <v>9.0410256410256409</v>
      </c>
    </row>
    <row r="9" spans="1:48">
      <c r="A9" t="s">
        <v>648</v>
      </c>
      <c r="B9">
        <f>VLOOKUP(Table15[[#Headers],[ALU]],Table2[#All],4,FALSE)*Table112[[#This Row],[ALU]]</f>
        <v>0</v>
      </c>
      <c r="C9">
        <f>VLOOKUP(Table15[[#Headers],[ANT]],Table2[#All],4,FALSE)*Table112[[#This Row],[ANT]]</f>
        <v>0</v>
      </c>
      <c r="D9">
        <f>VLOOKUP(Table15[[#Headers],[ARS]],Table2[#All],4,FALSE)</f>
        <v>0.8</v>
      </c>
      <c r="E9">
        <f>VLOOKUP(Table15[[#Headers],[BAR]],Table2[#All],4,FALSE)*Table112[[#This Row],[BAR]]</f>
        <v>0</v>
      </c>
      <c r="F9">
        <f>VLOOKUP(Table15[[#Headers],[BER]],Table2[#All],4,FALSE)*Table112[[#This Row],[BER]]</f>
        <v>0</v>
      </c>
      <c r="G9">
        <f>VLOOKUP(Table15[[#Headers],[BIS]],Table2[#All],4,FALSE)*Table112[[#This Row],[BIS]]</f>
        <v>0.8</v>
      </c>
      <c r="H9">
        <f>VLOOKUP(Table15[[#Headers],[BOR]],Table2[#All],4,FALSE)*Table112[[#This Row],[BOR]]</f>
        <v>0</v>
      </c>
      <c r="I9">
        <f>VLOOKUP(Table15[[#Headers],[CES]],Table2[#All],4,FALSE)*Table112[[#This Row],[CES]]</f>
        <v>0</v>
      </c>
      <c r="J9">
        <f>VLOOKUP(Table15[[#Headers],[CHR]],Table2[#All],4,FALSE)*Table112[[#This Row],[CHR]]</f>
        <v>0</v>
      </c>
      <c r="K9">
        <f>VLOOKUP(Table15[[#Headers],[COB]],Table2[#All],4,FALSE)*Table112[[#This Row],[COB]]</f>
        <v>0</v>
      </c>
      <c r="L9">
        <f>VLOOKUP(Table15[[#Headers],[COP]],Table2[#All],4,FALSE)*Table112[[#This Row],[COP]]</f>
        <v>0.5714285714285714</v>
      </c>
      <c r="M9">
        <f>VLOOKUP(Table15[[#Headers],[FLU]],Table2[#All],4,FALSE)*Table112[[#This Row],[FLU]]</f>
        <v>0</v>
      </c>
      <c r="N9">
        <f>VLOOKUP(Table15[[#Headers],[GAL]],Table2[#All],4,FALSE)*Table112[[#This Row],[GAL]]</f>
        <v>0</v>
      </c>
      <c r="O9">
        <f>VLOOKUP(Table15[[#Headers],[GER]],Table2[#All],4,FALSE)*Table112[[#This Row],[GER]]</f>
        <v>0</v>
      </c>
      <c r="P9">
        <f>VLOOKUP(Table15[[#Headers],[GRA]],Table2[#All],4,FALSE)*Table112[[#This Row],[GRA]]</f>
        <v>0</v>
      </c>
      <c r="Q9">
        <f>VLOOKUP(Table15[[#Headers],[HAF]],Table2[#All],4,FALSE)*Table112[[#This Row],[HAF]]</f>
        <v>0</v>
      </c>
      <c r="R9">
        <f>VLOOKUP(Table15[[#Headers],[IND]],Table2[#All],4,FALSE)*Table112[[#This Row],[IND]]</f>
        <v>0.8</v>
      </c>
      <c r="S9">
        <f>VLOOKUP(Table15[[#Headers],[IRI]],Table2[#All],4,FALSE)*Table112[[#This Row],[IRI]]</f>
        <v>0</v>
      </c>
      <c r="T9">
        <f>VLOOKUP(Table15[[#Headers],[LED]],Table2[#All],4,FALSE)*Table112[[#This Row],[LED]]</f>
        <v>0.8</v>
      </c>
      <c r="U9">
        <f>VLOOKUP(Table15[[#Headers],[LIT]],Table2[#All],4,FALSE)*Table112[[#This Row],[LIT]]</f>
        <v>0</v>
      </c>
      <c r="V9">
        <f>VLOOKUP(Table15[[#Headers],[MAG]],Table2[#All],4,FALSE)*Table112[[#This Row],[MAG]]</f>
        <v>0</v>
      </c>
      <c r="W9">
        <f>VLOOKUP(Table15[[#Headers],[MAN]],Table2[#All],4,FALSE)*Table112[[#This Row],[MAN]]</f>
        <v>0</v>
      </c>
      <c r="X9">
        <f>VLOOKUP(Table15[[#Headers],[MCO]],Table2[#All],4,FALSE)*Table112[[#This Row],[MCO]]</f>
        <v>0</v>
      </c>
      <c r="Y9">
        <f>VLOOKUP(Table15[[#Headers],[NIC]],Table2[#All],4,FALSE)*Table112[[#This Row],[NIC]]</f>
        <v>0</v>
      </c>
      <c r="Z9">
        <f>VLOOKUP(Table15[[#Headers],[NIO]],Table2[#All],4,FALSE)*Table112[[#This Row],[NIO]]</f>
        <v>0</v>
      </c>
      <c r="AA9">
        <f>VLOOKUP(Table15[[#Headers],[PAL]],Table2[#All],4,FALSE)*Table112[[#This Row],[PAL]]</f>
        <v>0</v>
      </c>
      <c r="AB9">
        <f>VLOOKUP(Table15[[#Headers],[PHO]],Table2[#All],4,FALSE)*Table112[[#This Row],[PHO]]</f>
        <v>0</v>
      </c>
      <c r="AC9">
        <f>VLOOKUP(Table15[[#Headers],[PLA]],Table2[#All],4,FALSE)*Table112[[#This Row],[PLA]]</f>
        <v>0</v>
      </c>
      <c r="AD9">
        <f>VLOOKUP(Table15[[#Headers],[POT]],Table2[#All],4,FALSE)*Table112[[#This Row],[POT]]</f>
        <v>0</v>
      </c>
      <c r="AE9">
        <f>VLOOKUP(Table15[[#Headers],[RHE]],Table2[#All],4,FALSE)*Table112[[#This Row],[RHE]]</f>
        <v>0.8</v>
      </c>
      <c r="AF9">
        <f>VLOOKUP(Table15[[#Headers],[RHO]],Table2[#All],4,FALSE)*Table112[[#This Row],[RHO]]</f>
        <v>0</v>
      </c>
      <c r="AG9">
        <f>VLOOKUP(Table15[[#Headers],[RUB]],Table2[#All],4,FALSE)*Table112[[#This Row],[RUB]]</f>
        <v>0</v>
      </c>
      <c r="AH9">
        <f>VLOOKUP(Table15[[#Headers],[RUT]],Table2[#All],4,FALSE)*Table112[[#This Row],[RUT]]</f>
        <v>0</v>
      </c>
      <c r="AI9">
        <f>VLOOKUP(Table15[[#Headers],[SCA]],Table2[#All],4,FALSE)*Table112[[#This Row],[SCA]]</f>
        <v>0</v>
      </c>
      <c r="AJ9">
        <f>VLOOKUP(Table15[[#Headers],[SIL]],Table2[#All],4,FALSE)*Table112[[#This Row],[SIL]]</f>
        <v>0</v>
      </c>
      <c r="AK9">
        <f>VLOOKUP(Table15[[#Headers],[SLV]],Table2[#All],4,FALSE)*Table112[[#This Row],[SLV]]</f>
        <v>0.66666666666666663</v>
      </c>
      <c r="AL9">
        <f>VLOOKUP(Table15[[#Headers],[TAN]],Table2[#All],4,FALSE)*Table112[[#This Row],[TAN]]</f>
        <v>0</v>
      </c>
      <c r="AM9">
        <f>VLOOKUP(Table15[[#Headers],[TEL]],Table2[#All],4,FALSE)*Table112[[#This Row],[TEL]]</f>
        <v>0.8</v>
      </c>
      <c r="AN9">
        <f>VLOOKUP(Table15[[#Headers],[TIN]],Table2[#All],4,FALSE)*Table112[[#This Row],[TIN]]</f>
        <v>0.66666666666666663</v>
      </c>
      <c r="AO9">
        <f>VLOOKUP(Table15[[#Headers],[TIT]],Table2[#All],4,FALSE)*Table112[[#This Row],[TIT]]</f>
        <v>0</v>
      </c>
      <c r="AP9">
        <f>VLOOKUP(Table15[[#Headers],[TUN]],Table2[#All],4,FALSE)*Table112[[#This Row],[TUN]]</f>
        <v>0</v>
      </c>
      <c r="AQ9">
        <f>VLOOKUP(Table15[[#Headers],[URA]],Table2[#All],4,FALSE)*Table112[[#This Row],[URA]]</f>
        <v>0</v>
      </c>
      <c r="AR9">
        <f>VLOOKUP(Table15[[#Headers],[VAN]],Table2[#All],4,FALSE)*Table112[[#This Row],[VAN]]</f>
        <v>0</v>
      </c>
      <c r="AS9">
        <f>VLOOKUP(Table15[[#Headers],[ZIN]],Table2[#All],4,FALSE)*Table112[[#This Row],[ZIN]]</f>
        <v>0.8</v>
      </c>
      <c r="AT9">
        <f>VLOOKUP(Table15[[#Headers],[ZIR]],Table2[#All],4,FALSE)*Table112[[#This Row],[ZIR]]</f>
        <v>0</v>
      </c>
      <c r="AU9">
        <f>VLOOKUP(Table15[[#Headers],[REE]],Table2[#All],4,FALSE)*Table112[[#This Row],[REE]]</f>
        <v>0</v>
      </c>
      <c r="AV9">
        <f t="shared" si="0"/>
        <v>7.5047619047619047</v>
      </c>
    </row>
    <row r="10" spans="1:48">
      <c r="A10" t="s">
        <v>544</v>
      </c>
      <c r="B10">
        <f>VLOOKUP(Table15[[#Headers],[ALU]],Table2[#All],4,FALSE)*Table112[[#This Row],[ALU]]</f>
        <v>0.66666666666666663</v>
      </c>
      <c r="C10">
        <f>VLOOKUP(Table15[[#Headers],[ANT]],Table2[#All],4,FALSE)*Table112[[#This Row],[ANT]]</f>
        <v>0</v>
      </c>
      <c r="D10">
        <f>VLOOKUP(Table15[[#Headers],[ARS]],Table2[#All],4,FALSE)</f>
        <v>0.8</v>
      </c>
      <c r="E10">
        <f>VLOOKUP(Table15[[#Headers],[BAR]],Table2[#All],4,FALSE)*Table112[[#This Row],[BAR]]</f>
        <v>0.8</v>
      </c>
      <c r="F10">
        <f>VLOOKUP(Table15[[#Headers],[BER]],Table2[#All],4,FALSE)*Table112[[#This Row],[BER]]</f>
        <v>0</v>
      </c>
      <c r="G10">
        <f>VLOOKUP(Table15[[#Headers],[BIS]],Table2[#All],4,FALSE)*Table112[[#This Row],[BIS]]</f>
        <v>0</v>
      </c>
      <c r="H10">
        <f>VLOOKUP(Table15[[#Headers],[BOR]],Table2[#All],4,FALSE)*Table112[[#This Row],[BOR]]</f>
        <v>0</v>
      </c>
      <c r="I10">
        <f>VLOOKUP(Table15[[#Headers],[CES]],Table2[#All],4,FALSE)*Table112[[#This Row],[CES]]</f>
        <v>0</v>
      </c>
      <c r="J10">
        <f>VLOOKUP(Table15[[#Headers],[CHR]],Table2[#All],4,FALSE)*Table112[[#This Row],[CHR]]</f>
        <v>0.8</v>
      </c>
      <c r="K10">
        <f>VLOOKUP(Table15[[#Headers],[COB]],Table2[#All],4,FALSE)*Table112[[#This Row],[COB]]</f>
        <v>0</v>
      </c>
      <c r="L10">
        <f>VLOOKUP(Table15[[#Headers],[COP]],Table2[#All],4,FALSE)*Table112[[#This Row],[COP]]</f>
        <v>0</v>
      </c>
      <c r="M10">
        <f>VLOOKUP(Table15[[#Headers],[FLU]],Table2[#All],4,FALSE)*Table112[[#This Row],[FLU]]</f>
        <v>0</v>
      </c>
      <c r="N10">
        <f>VLOOKUP(Table15[[#Headers],[GAL]],Table2[#All],4,FALSE)*Table112[[#This Row],[GAL]]</f>
        <v>0</v>
      </c>
      <c r="O10">
        <f>VLOOKUP(Table15[[#Headers],[GER]],Table2[#All],4,FALSE)*Table112[[#This Row],[GER]]</f>
        <v>0</v>
      </c>
      <c r="P10">
        <f>VLOOKUP(Table15[[#Headers],[GRA]],Table2[#All],4,FALSE)*Table112[[#This Row],[GRA]]</f>
        <v>0.66666666666666663</v>
      </c>
      <c r="Q10">
        <f>VLOOKUP(Table15[[#Headers],[HAF]],Table2[#All],4,FALSE)*Table112[[#This Row],[HAF]]</f>
        <v>0.8</v>
      </c>
      <c r="R10">
        <f>VLOOKUP(Table15[[#Headers],[IND]],Table2[#All],4,FALSE)*Table112[[#This Row],[IND]]</f>
        <v>0</v>
      </c>
      <c r="S10">
        <f>VLOOKUP(Table15[[#Headers],[IRI]],Table2[#All],4,FALSE)*Table112[[#This Row],[IRI]]</f>
        <v>0</v>
      </c>
      <c r="T10">
        <f>VLOOKUP(Table15[[#Headers],[LED]],Table2[#All],4,FALSE)*Table112[[#This Row],[LED]]</f>
        <v>0</v>
      </c>
      <c r="U10">
        <f>VLOOKUP(Table15[[#Headers],[LIT]],Table2[#All],4,FALSE)*Table112[[#This Row],[LIT]]</f>
        <v>0</v>
      </c>
      <c r="V10">
        <f>VLOOKUP(Table15[[#Headers],[MAG]],Table2[#All],4,FALSE)*Table112[[#This Row],[MAG]]</f>
        <v>0</v>
      </c>
      <c r="W10">
        <f>VLOOKUP(Table15[[#Headers],[MAN]],Table2[#All],4,FALSE)*Table112[[#This Row],[MAN]]</f>
        <v>0</v>
      </c>
      <c r="X10">
        <f>VLOOKUP(Table15[[#Headers],[MCO]],Table2[#All],4,FALSE)*Table112[[#This Row],[MCO]]</f>
        <v>0</v>
      </c>
      <c r="Y10">
        <f>VLOOKUP(Table15[[#Headers],[NIC]],Table2[#All],4,FALSE)*Table112[[#This Row],[NIC]]</f>
        <v>0</v>
      </c>
      <c r="Z10">
        <f>VLOOKUP(Table15[[#Headers],[NIO]],Table2[#All],4,FALSE)*Table112[[#This Row],[NIO]]</f>
        <v>0</v>
      </c>
      <c r="AA10">
        <f>VLOOKUP(Table15[[#Headers],[PAL]],Table2[#All],4,FALSE)*Table112[[#This Row],[PAL]]</f>
        <v>0</v>
      </c>
      <c r="AB10">
        <f>VLOOKUP(Table15[[#Headers],[PHO]],Table2[#All],4,FALSE)*Table112[[#This Row],[PHO]]</f>
        <v>0</v>
      </c>
      <c r="AC10">
        <f>VLOOKUP(Table15[[#Headers],[PLA]],Table2[#All],4,FALSE)*Table112[[#This Row],[PLA]]</f>
        <v>0</v>
      </c>
      <c r="AD10">
        <f>VLOOKUP(Table15[[#Headers],[POT]],Table2[#All],4,FALSE)*Table112[[#This Row],[POT]]</f>
        <v>0</v>
      </c>
      <c r="AE10">
        <f>VLOOKUP(Table15[[#Headers],[RHE]],Table2[#All],4,FALSE)*Table112[[#This Row],[RHE]]</f>
        <v>0</v>
      </c>
      <c r="AF10">
        <f>VLOOKUP(Table15[[#Headers],[RHO]],Table2[#All],4,FALSE)*Table112[[#This Row],[RHO]]</f>
        <v>0</v>
      </c>
      <c r="AG10">
        <f>VLOOKUP(Table15[[#Headers],[RUB]],Table2[#All],4,FALSE)*Table112[[#This Row],[RUB]]</f>
        <v>0</v>
      </c>
      <c r="AH10">
        <f>VLOOKUP(Table15[[#Headers],[RUT]],Table2[#All],4,FALSE)*Table112[[#This Row],[RUT]]</f>
        <v>0</v>
      </c>
      <c r="AI10">
        <f>VLOOKUP(Table15[[#Headers],[SCA]],Table2[#All],4,FALSE)*Table112[[#This Row],[SCA]]</f>
        <v>0</v>
      </c>
      <c r="AJ10">
        <f>VLOOKUP(Table15[[#Headers],[SIL]],Table2[#All],4,FALSE)*Table112[[#This Row],[SIL]]</f>
        <v>0</v>
      </c>
      <c r="AK10">
        <f>VLOOKUP(Table15[[#Headers],[SLV]],Table2[#All],4,FALSE)*Table112[[#This Row],[SLV]]</f>
        <v>0</v>
      </c>
      <c r="AL10">
        <f>VLOOKUP(Table15[[#Headers],[TAN]],Table2[#All],4,FALSE)*Table112[[#This Row],[TAN]]</f>
        <v>0</v>
      </c>
      <c r="AM10">
        <f>VLOOKUP(Table15[[#Headers],[TEL]],Table2[#All],4,FALSE)*Table112[[#This Row],[TEL]]</f>
        <v>0</v>
      </c>
      <c r="AN10">
        <f>VLOOKUP(Table15[[#Headers],[TIN]],Table2[#All],4,FALSE)*Table112[[#This Row],[TIN]]</f>
        <v>0</v>
      </c>
      <c r="AO10">
        <f>VLOOKUP(Table15[[#Headers],[TIT]],Table2[#All],4,FALSE)*Table112[[#This Row],[TIT]]</f>
        <v>0.8</v>
      </c>
      <c r="AP10">
        <f>VLOOKUP(Table15[[#Headers],[TUN]],Table2[#All],4,FALSE)*Table112[[#This Row],[TUN]]</f>
        <v>0</v>
      </c>
      <c r="AQ10">
        <f>VLOOKUP(Table15[[#Headers],[URA]],Table2[#All],4,FALSE)*Table112[[#This Row],[URA]]</f>
        <v>0</v>
      </c>
      <c r="AR10">
        <f>VLOOKUP(Table15[[#Headers],[VAN]],Table2[#All],4,FALSE)*Table112[[#This Row],[VAN]]</f>
        <v>0</v>
      </c>
      <c r="AS10">
        <f>VLOOKUP(Table15[[#Headers],[ZIN]],Table2[#All],4,FALSE)*Table112[[#This Row],[ZIN]]</f>
        <v>0.8</v>
      </c>
      <c r="AT10">
        <f>VLOOKUP(Table15[[#Headers],[ZIR]],Table2[#All],4,FALSE)*Table112[[#This Row],[ZIR]]</f>
        <v>0.8</v>
      </c>
      <c r="AU10">
        <f>VLOOKUP(Table15[[#Headers],[REE]],Table2[#All],4,FALSE)*Table112[[#This Row],[REE]]</f>
        <v>0.30769230769230771</v>
      </c>
      <c r="AV10">
        <f t="shared" si="0"/>
        <v>7.2410256410256402</v>
      </c>
    </row>
    <row r="11" spans="1:48">
      <c r="A11" t="s">
        <v>530</v>
      </c>
      <c r="B11">
        <f>VLOOKUP(Table15[[#Headers],[ALU]],Table2[#All],4,FALSE)*Table112[[#This Row],[ALU]]</f>
        <v>0</v>
      </c>
      <c r="C11">
        <f>VLOOKUP(Table15[[#Headers],[ANT]],Table2[#All],4,FALSE)*Table112[[#This Row],[ANT]]</f>
        <v>0.66666666666666663</v>
      </c>
      <c r="D11">
        <f>VLOOKUP(Table15[[#Headers],[ARS]],Table2[#All],4,FALSE)</f>
        <v>0.8</v>
      </c>
      <c r="E11">
        <f>VLOOKUP(Table15[[#Headers],[BAR]],Table2[#All],4,FALSE)*Table112[[#This Row],[BAR]]</f>
        <v>0</v>
      </c>
      <c r="F11">
        <f>VLOOKUP(Table15[[#Headers],[BER]],Table2[#All],4,FALSE)*Table112[[#This Row],[BER]]</f>
        <v>0</v>
      </c>
      <c r="G11">
        <f>VLOOKUP(Table15[[#Headers],[BIS]],Table2[#All],4,FALSE)*Table112[[#This Row],[BIS]]</f>
        <v>0.8</v>
      </c>
      <c r="H11">
        <f>VLOOKUP(Table15[[#Headers],[BOR]],Table2[#All],4,FALSE)*Table112[[#This Row],[BOR]]</f>
        <v>0</v>
      </c>
      <c r="I11">
        <f>VLOOKUP(Table15[[#Headers],[CES]],Table2[#All],4,FALSE)*Table112[[#This Row],[CES]]</f>
        <v>0</v>
      </c>
      <c r="J11">
        <f>VLOOKUP(Table15[[#Headers],[CHR]],Table2[#All],4,FALSE)*Table112[[#This Row],[CHR]]</f>
        <v>0</v>
      </c>
      <c r="K11">
        <f>VLOOKUP(Table15[[#Headers],[COB]],Table2[#All],4,FALSE)*Table112[[#This Row],[COB]]</f>
        <v>0</v>
      </c>
      <c r="L11">
        <f>VLOOKUP(Table15[[#Headers],[COP]],Table2[#All],4,FALSE)*Table112[[#This Row],[COP]]</f>
        <v>0</v>
      </c>
      <c r="M11">
        <f>VLOOKUP(Table15[[#Headers],[FLU]],Table2[#All],4,FALSE)*Table112[[#This Row],[FLU]]</f>
        <v>0</v>
      </c>
      <c r="N11">
        <f>VLOOKUP(Table15[[#Headers],[GAL]],Table2[#All],4,FALSE)*Table112[[#This Row],[GAL]]</f>
        <v>0</v>
      </c>
      <c r="O11">
        <f>VLOOKUP(Table15[[#Headers],[GER]],Table2[#All],4,FALSE)*Table112[[#This Row],[GER]]</f>
        <v>0</v>
      </c>
      <c r="P11">
        <f>VLOOKUP(Table15[[#Headers],[GRA]],Table2[#All],4,FALSE)*Table112[[#This Row],[GRA]]</f>
        <v>0</v>
      </c>
      <c r="Q11">
        <f>VLOOKUP(Table15[[#Headers],[HAF]],Table2[#All],4,FALSE)*Table112[[#This Row],[HAF]]</f>
        <v>0</v>
      </c>
      <c r="R11">
        <f>VLOOKUP(Table15[[#Headers],[IND]],Table2[#All],4,FALSE)*Table112[[#This Row],[IND]]</f>
        <v>0.8</v>
      </c>
      <c r="S11">
        <f>VLOOKUP(Table15[[#Headers],[IRI]],Table2[#All],4,FALSE)*Table112[[#This Row],[IRI]]</f>
        <v>0</v>
      </c>
      <c r="T11">
        <f>VLOOKUP(Table15[[#Headers],[LED]],Table2[#All],4,FALSE)*Table112[[#This Row],[LED]]</f>
        <v>0</v>
      </c>
      <c r="U11">
        <f>VLOOKUP(Table15[[#Headers],[LIT]],Table2[#All],4,FALSE)*Table112[[#This Row],[LIT]]</f>
        <v>0.66666666666666663</v>
      </c>
      <c r="V11">
        <f>VLOOKUP(Table15[[#Headers],[MAG]],Table2[#All],4,FALSE)*Table112[[#This Row],[MAG]]</f>
        <v>0</v>
      </c>
      <c r="W11">
        <f>VLOOKUP(Table15[[#Headers],[MAN]],Table2[#All],4,FALSE)*Table112[[#This Row],[MAN]]</f>
        <v>0</v>
      </c>
      <c r="X11">
        <f>VLOOKUP(Table15[[#Headers],[MCO]],Table2[#All],4,FALSE)*Table112[[#This Row],[MCO]]</f>
        <v>0</v>
      </c>
      <c r="Y11">
        <f>VLOOKUP(Table15[[#Headers],[NIC]],Table2[#All],4,FALSE)*Table112[[#This Row],[NIC]]</f>
        <v>0</v>
      </c>
      <c r="Z11">
        <f>VLOOKUP(Table15[[#Headers],[NIO]],Table2[#All],4,FALSE)*Table112[[#This Row],[NIO]]</f>
        <v>0</v>
      </c>
      <c r="AA11">
        <f>VLOOKUP(Table15[[#Headers],[PAL]],Table2[#All],4,FALSE)*Table112[[#This Row],[PAL]]</f>
        <v>0</v>
      </c>
      <c r="AB11">
        <f>VLOOKUP(Table15[[#Headers],[PHO]],Table2[#All],4,FALSE)*Table112[[#This Row],[PHO]]</f>
        <v>0</v>
      </c>
      <c r="AC11">
        <f>VLOOKUP(Table15[[#Headers],[PLA]],Table2[#All],4,FALSE)*Table112[[#This Row],[PLA]]</f>
        <v>0</v>
      </c>
      <c r="AD11">
        <f>VLOOKUP(Table15[[#Headers],[POT]],Table2[#All],4,FALSE)*Table112[[#This Row],[POT]]</f>
        <v>0</v>
      </c>
      <c r="AE11">
        <f>VLOOKUP(Table15[[#Headers],[RHE]],Table2[#All],4,FALSE)*Table112[[#This Row],[RHE]]</f>
        <v>0</v>
      </c>
      <c r="AF11">
        <f>VLOOKUP(Table15[[#Headers],[RHO]],Table2[#All],4,FALSE)*Table112[[#This Row],[RHO]]</f>
        <v>0</v>
      </c>
      <c r="AG11">
        <f>VLOOKUP(Table15[[#Headers],[RUB]],Table2[#All],4,FALSE)*Table112[[#This Row],[RUB]]</f>
        <v>0</v>
      </c>
      <c r="AH11">
        <f>VLOOKUP(Table15[[#Headers],[RUT]],Table2[#All],4,FALSE)*Table112[[#This Row],[RUT]]</f>
        <v>0</v>
      </c>
      <c r="AI11">
        <f>VLOOKUP(Table15[[#Headers],[SCA]],Table2[#All],4,FALSE)*Table112[[#This Row],[SCA]]</f>
        <v>0</v>
      </c>
      <c r="AJ11">
        <f>VLOOKUP(Table15[[#Headers],[SIL]],Table2[#All],4,FALSE)*Table112[[#This Row],[SIL]]</f>
        <v>0</v>
      </c>
      <c r="AK11">
        <f>VLOOKUP(Table15[[#Headers],[SLV]],Table2[#All],4,FALSE)*Table112[[#This Row],[SLV]]</f>
        <v>0</v>
      </c>
      <c r="AL11">
        <f>VLOOKUP(Table15[[#Headers],[TAN]],Table2[#All],4,FALSE)*Table112[[#This Row],[TAN]]</f>
        <v>0</v>
      </c>
      <c r="AM11">
        <f>VLOOKUP(Table15[[#Headers],[TEL]],Table2[#All],4,FALSE)*Table112[[#This Row],[TEL]]</f>
        <v>0</v>
      </c>
      <c r="AN11">
        <f>VLOOKUP(Table15[[#Headers],[TIN]],Table2[#All],4,FALSE)*Table112[[#This Row],[TIN]]</f>
        <v>0.66666666666666663</v>
      </c>
      <c r="AO11">
        <f>VLOOKUP(Table15[[#Headers],[TIT]],Table2[#All],4,FALSE)*Table112[[#This Row],[TIT]]</f>
        <v>0</v>
      </c>
      <c r="AP11">
        <f>VLOOKUP(Table15[[#Headers],[TUN]],Table2[#All],4,FALSE)*Table112[[#This Row],[TUN]]</f>
        <v>0.8</v>
      </c>
      <c r="AQ11">
        <f>VLOOKUP(Table15[[#Headers],[URA]],Table2[#All],4,FALSE)*Table112[[#This Row],[URA]]</f>
        <v>0</v>
      </c>
      <c r="AR11">
        <f>VLOOKUP(Table15[[#Headers],[VAN]],Table2[#All],4,FALSE)*Table112[[#This Row],[VAN]]</f>
        <v>0</v>
      </c>
      <c r="AS11">
        <f>VLOOKUP(Table15[[#Headers],[ZIN]],Table2[#All],4,FALSE)*Table112[[#This Row],[ZIN]]</f>
        <v>0</v>
      </c>
      <c r="AT11">
        <f>VLOOKUP(Table15[[#Headers],[ZIR]],Table2[#All],4,FALSE)*Table112[[#This Row],[ZIR]]</f>
        <v>0</v>
      </c>
      <c r="AU11">
        <f>VLOOKUP(Table15[[#Headers],[REE]],Table2[#All],4,FALSE)*Table112[[#This Row],[REE]]</f>
        <v>0</v>
      </c>
      <c r="AV11">
        <f t="shared" si="0"/>
        <v>5.1999999999999993</v>
      </c>
    </row>
    <row r="12" spans="1:48">
      <c r="A12" t="s">
        <v>587</v>
      </c>
      <c r="B12">
        <f>VLOOKUP(Table15[[#Headers],[ALU]],Table2[#All],4,FALSE)*Table112[[#This Row],[ALU]]</f>
        <v>0</v>
      </c>
      <c r="C12">
        <f>VLOOKUP(Table15[[#Headers],[ANT]],Table2[#All],4,FALSE)*Table112[[#This Row],[ANT]]</f>
        <v>0</v>
      </c>
      <c r="D12">
        <f>VLOOKUP(Table15[[#Headers],[ARS]],Table2[#All],4,FALSE)</f>
        <v>0.8</v>
      </c>
      <c r="E12">
        <f>VLOOKUP(Table15[[#Headers],[BAR]],Table2[#All],4,FALSE)*Table112[[#This Row],[BAR]]</f>
        <v>0</v>
      </c>
      <c r="F12">
        <f>VLOOKUP(Table15[[#Headers],[BER]],Table2[#All],4,FALSE)*Table112[[#This Row],[BER]]</f>
        <v>0</v>
      </c>
      <c r="G12">
        <f>VLOOKUP(Table15[[#Headers],[BIS]],Table2[#All],4,FALSE)*Table112[[#This Row],[BIS]]</f>
        <v>0.8</v>
      </c>
      <c r="H12">
        <f>VLOOKUP(Table15[[#Headers],[BOR]],Table2[#All],4,FALSE)*Table112[[#This Row],[BOR]]</f>
        <v>0</v>
      </c>
      <c r="I12">
        <f>VLOOKUP(Table15[[#Headers],[CES]],Table2[#All],4,FALSE)*Table112[[#This Row],[CES]]</f>
        <v>0</v>
      </c>
      <c r="J12">
        <f>VLOOKUP(Table15[[#Headers],[CHR]],Table2[#All],4,FALSE)*Table112[[#This Row],[CHR]]</f>
        <v>0</v>
      </c>
      <c r="K12">
        <f>VLOOKUP(Table15[[#Headers],[COB]],Table2[#All],4,FALSE)*Table112[[#This Row],[COB]]</f>
        <v>0</v>
      </c>
      <c r="L12">
        <f>VLOOKUP(Table15[[#Headers],[COP]],Table2[#All],4,FALSE)*Table112[[#This Row],[COP]]</f>
        <v>0</v>
      </c>
      <c r="M12">
        <f>VLOOKUP(Table15[[#Headers],[FLU]],Table2[#All],4,FALSE)*Table112[[#This Row],[FLU]]</f>
        <v>0.8</v>
      </c>
      <c r="N12">
        <f>VLOOKUP(Table15[[#Headers],[GAL]],Table2[#All],4,FALSE)*Table112[[#This Row],[GAL]]</f>
        <v>0</v>
      </c>
      <c r="O12">
        <f>VLOOKUP(Table15[[#Headers],[GER]],Table2[#All],4,FALSE)*Table112[[#This Row],[GER]]</f>
        <v>0</v>
      </c>
      <c r="P12">
        <f>VLOOKUP(Table15[[#Headers],[GRA]],Table2[#All],4,FALSE)*Table112[[#This Row],[GRA]]</f>
        <v>0</v>
      </c>
      <c r="Q12">
        <f>VLOOKUP(Table15[[#Headers],[HAF]],Table2[#All],4,FALSE)*Table112[[#This Row],[HAF]]</f>
        <v>0</v>
      </c>
      <c r="R12">
        <f>VLOOKUP(Table15[[#Headers],[IND]],Table2[#All],4,FALSE)*Table112[[#This Row],[IND]]</f>
        <v>0</v>
      </c>
      <c r="S12">
        <f>VLOOKUP(Table15[[#Headers],[IRI]],Table2[#All],4,FALSE)*Table112[[#This Row],[IRI]]</f>
        <v>0</v>
      </c>
      <c r="T12">
        <f>VLOOKUP(Table15[[#Headers],[LED]],Table2[#All],4,FALSE)*Table112[[#This Row],[LED]]</f>
        <v>0.8</v>
      </c>
      <c r="U12">
        <f>VLOOKUP(Table15[[#Headers],[LIT]],Table2[#All],4,FALSE)*Table112[[#This Row],[LIT]]</f>
        <v>0</v>
      </c>
      <c r="V12">
        <f>VLOOKUP(Table15[[#Headers],[MAG]],Table2[#All],4,FALSE)*Table112[[#This Row],[MAG]]</f>
        <v>0</v>
      </c>
      <c r="W12">
        <f>VLOOKUP(Table15[[#Headers],[MAN]],Table2[#All],4,FALSE)*Table112[[#This Row],[MAN]]</f>
        <v>0</v>
      </c>
      <c r="X12">
        <f>VLOOKUP(Table15[[#Headers],[MCO]],Table2[#All],4,FALSE)*Table112[[#This Row],[MCO]]</f>
        <v>0</v>
      </c>
      <c r="Y12">
        <f>VLOOKUP(Table15[[#Headers],[NIC]],Table2[#All],4,FALSE)*Table112[[#This Row],[NIC]]</f>
        <v>0</v>
      </c>
      <c r="Z12">
        <f>VLOOKUP(Table15[[#Headers],[NIO]],Table2[#All],4,FALSE)*Table112[[#This Row],[NIO]]</f>
        <v>0</v>
      </c>
      <c r="AA12">
        <f>VLOOKUP(Table15[[#Headers],[PAL]],Table2[#All],4,FALSE)*Table112[[#This Row],[PAL]]</f>
        <v>0</v>
      </c>
      <c r="AB12">
        <f>VLOOKUP(Table15[[#Headers],[PHO]],Table2[#All],4,FALSE)*Table112[[#This Row],[PHO]]</f>
        <v>0</v>
      </c>
      <c r="AC12">
        <f>VLOOKUP(Table15[[#Headers],[PLA]],Table2[#All],4,FALSE)*Table112[[#This Row],[PLA]]</f>
        <v>0</v>
      </c>
      <c r="AD12">
        <f>VLOOKUP(Table15[[#Headers],[POT]],Table2[#All],4,FALSE)*Table112[[#This Row],[POT]]</f>
        <v>0</v>
      </c>
      <c r="AE12">
        <f>VLOOKUP(Table15[[#Headers],[RHE]],Table2[#All],4,FALSE)*Table112[[#This Row],[RHE]]</f>
        <v>0</v>
      </c>
      <c r="AF12">
        <f>VLOOKUP(Table15[[#Headers],[RHO]],Table2[#All],4,FALSE)*Table112[[#This Row],[RHO]]</f>
        <v>0</v>
      </c>
      <c r="AG12">
        <f>VLOOKUP(Table15[[#Headers],[RUB]],Table2[#All],4,FALSE)*Table112[[#This Row],[RUB]]</f>
        <v>0</v>
      </c>
      <c r="AH12">
        <f>VLOOKUP(Table15[[#Headers],[RUT]],Table2[#All],4,FALSE)*Table112[[#This Row],[RUT]]</f>
        <v>0</v>
      </c>
      <c r="AI12">
        <f>VLOOKUP(Table15[[#Headers],[SCA]],Table2[#All],4,FALSE)*Table112[[#This Row],[SCA]]</f>
        <v>0</v>
      </c>
      <c r="AJ12">
        <f>VLOOKUP(Table15[[#Headers],[SIL]],Table2[#All],4,FALSE)*Table112[[#This Row],[SIL]]</f>
        <v>0</v>
      </c>
      <c r="AK12">
        <f>VLOOKUP(Table15[[#Headers],[SLV]],Table2[#All],4,FALSE)*Table112[[#This Row],[SLV]]</f>
        <v>0.66666666666666663</v>
      </c>
      <c r="AL12">
        <f>VLOOKUP(Table15[[#Headers],[TAN]],Table2[#All],4,FALSE)*Table112[[#This Row],[TAN]]</f>
        <v>0</v>
      </c>
      <c r="AM12">
        <f>VLOOKUP(Table15[[#Headers],[TEL]],Table2[#All],4,FALSE)*Table112[[#This Row],[TEL]]</f>
        <v>0</v>
      </c>
      <c r="AN12">
        <f>VLOOKUP(Table15[[#Headers],[TIN]],Table2[#All],4,FALSE)*Table112[[#This Row],[TIN]]</f>
        <v>0</v>
      </c>
      <c r="AO12">
        <f>VLOOKUP(Table15[[#Headers],[TIT]],Table2[#All],4,FALSE)*Table112[[#This Row],[TIT]]</f>
        <v>0</v>
      </c>
      <c r="AP12">
        <f>VLOOKUP(Table15[[#Headers],[TUN]],Table2[#All],4,FALSE)*Table112[[#This Row],[TUN]]</f>
        <v>0</v>
      </c>
      <c r="AQ12">
        <f>VLOOKUP(Table15[[#Headers],[URA]],Table2[#All],4,FALSE)*Table112[[#This Row],[URA]]</f>
        <v>0</v>
      </c>
      <c r="AR12">
        <f>VLOOKUP(Table15[[#Headers],[VAN]],Table2[#All],4,FALSE)*Table112[[#This Row],[VAN]]</f>
        <v>0</v>
      </c>
      <c r="AS12">
        <f>VLOOKUP(Table15[[#Headers],[ZIN]],Table2[#All],4,FALSE)*Table112[[#This Row],[ZIN]]</f>
        <v>0.8</v>
      </c>
      <c r="AT12">
        <f>VLOOKUP(Table15[[#Headers],[ZIR]],Table2[#All],4,FALSE)*Table112[[#This Row],[ZIR]]</f>
        <v>0</v>
      </c>
      <c r="AU12">
        <f>VLOOKUP(Table15[[#Headers],[REE]],Table2[#All],4,FALSE)*Table112[[#This Row],[REE]]</f>
        <v>0</v>
      </c>
      <c r="AV12">
        <f t="shared" si="0"/>
        <v>4.666666666666667</v>
      </c>
    </row>
    <row r="13" spans="1:48">
      <c r="A13" t="s">
        <v>597</v>
      </c>
      <c r="B13">
        <f>VLOOKUP(Table15[[#Headers],[ALU]],Table2[#All],4,FALSE)*Table112[[#This Row],[ALU]]</f>
        <v>0</v>
      </c>
      <c r="C13">
        <f>VLOOKUP(Table15[[#Headers],[ANT]],Table2[#All],4,FALSE)*Table112[[#This Row],[ANT]]</f>
        <v>0</v>
      </c>
      <c r="D13">
        <f>VLOOKUP(Table15[[#Headers],[ARS]],Table2[#All],4,FALSE)</f>
        <v>0.8</v>
      </c>
      <c r="E13">
        <f>VLOOKUP(Table15[[#Headers],[BAR]],Table2[#All],4,FALSE)*Table112[[#This Row],[BAR]]</f>
        <v>0</v>
      </c>
      <c r="F13">
        <f>VLOOKUP(Table15[[#Headers],[BER]],Table2[#All],4,FALSE)*Table112[[#This Row],[BER]]</f>
        <v>0</v>
      </c>
      <c r="G13">
        <f>VLOOKUP(Table15[[#Headers],[BIS]],Table2[#All],4,FALSE)*Table112[[#This Row],[BIS]]</f>
        <v>0</v>
      </c>
      <c r="H13">
        <f>VLOOKUP(Table15[[#Headers],[BOR]],Table2[#All],4,FALSE)*Table112[[#This Row],[BOR]]</f>
        <v>0</v>
      </c>
      <c r="I13">
        <f>VLOOKUP(Table15[[#Headers],[CES]],Table2[#All],4,FALSE)*Table112[[#This Row],[CES]]</f>
        <v>1</v>
      </c>
      <c r="J13">
        <f>VLOOKUP(Table15[[#Headers],[CHR]],Table2[#All],4,FALSE)*Table112[[#This Row],[CHR]]</f>
        <v>0</v>
      </c>
      <c r="K13">
        <f>VLOOKUP(Table15[[#Headers],[COB]],Table2[#All],4,FALSE)*Table112[[#This Row],[COB]]</f>
        <v>0</v>
      </c>
      <c r="L13">
        <f>VLOOKUP(Table15[[#Headers],[COP]],Table2[#All],4,FALSE)*Table112[[#This Row],[COP]]</f>
        <v>0</v>
      </c>
      <c r="M13">
        <f>VLOOKUP(Table15[[#Headers],[FLU]],Table2[#All],4,FALSE)*Table112[[#This Row],[FLU]]</f>
        <v>0</v>
      </c>
      <c r="N13">
        <f>VLOOKUP(Table15[[#Headers],[GAL]],Table2[#All],4,FALSE)*Table112[[#This Row],[GAL]]</f>
        <v>0</v>
      </c>
      <c r="O13">
        <f>VLOOKUP(Table15[[#Headers],[GER]],Table2[#All],4,FALSE)*Table112[[#This Row],[GER]]</f>
        <v>0</v>
      </c>
      <c r="P13">
        <f>VLOOKUP(Table15[[#Headers],[GRA]],Table2[#All],4,FALSE)*Table112[[#This Row],[GRA]]</f>
        <v>0</v>
      </c>
      <c r="Q13">
        <f>VLOOKUP(Table15[[#Headers],[HAF]],Table2[#All],4,FALSE)*Table112[[#This Row],[HAF]]</f>
        <v>0</v>
      </c>
      <c r="R13">
        <f>VLOOKUP(Table15[[#Headers],[IND]],Table2[#All],4,FALSE)*Table112[[#This Row],[IND]]</f>
        <v>0</v>
      </c>
      <c r="S13">
        <f>VLOOKUP(Table15[[#Headers],[IRI]],Table2[#All],4,FALSE)*Table112[[#This Row],[IRI]]</f>
        <v>1</v>
      </c>
      <c r="T13">
        <f>VLOOKUP(Table15[[#Headers],[LED]],Table2[#All],4,FALSE)*Table112[[#This Row],[LED]]</f>
        <v>0</v>
      </c>
      <c r="U13">
        <f>VLOOKUP(Table15[[#Headers],[LIT]],Table2[#All],4,FALSE)*Table112[[#This Row],[LIT]]</f>
        <v>0</v>
      </c>
      <c r="V13">
        <f>VLOOKUP(Table15[[#Headers],[MAG]],Table2[#All],4,FALSE)*Table112[[#This Row],[MAG]]</f>
        <v>0</v>
      </c>
      <c r="W13">
        <f>VLOOKUP(Table15[[#Headers],[MAN]],Table2[#All],4,FALSE)*Table112[[#This Row],[MAN]]</f>
        <v>0</v>
      </c>
      <c r="X13">
        <f>VLOOKUP(Table15[[#Headers],[MCO]],Table2[#All],4,FALSE)*Table112[[#This Row],[MCO]]</f>
        <v>0</v>
      </c>
      <c r="Y13">
        <f>VLOOKUP(Table15[[#Headers],[NIC]],Table2[#All],4,FALSE)*Table112[[#This Row],[NIC]]</f>
        <v>0</v>
      </c>
      <c r="Z13">
        <f>VLOOKUP(Table15[[#Headers],[NIO]],Table2[#All],4,FALSE)*Table112[[#This Row],[NIO]]</f>
        <v>0</v>
      </c>
      <c r="AA13">
        <f>VLOOKUP(Table15[[#Headers],[PAL]],Table2[#All],4,FALSE)*Table112[[#This Row],[PAL]]</f>
        <v>0</v>
      </c>
      <c r="AB13">
        <f>VLOOKUP(Table15[[#Headers],[PHO]],Table2[#All],4,FALSE)*Table112[[#This Row],[PHO]]</f>
        <v>0</v>
      </c>
      <c r="AC13">
        <f>VLOOKUP(Table15[[#Headers],[PLA]],Table2[#All],4,FALSE)*Table112[[#This Row],[PLA]]</f>
        <v>1</v>
      </c>
      <c r="AD13">
        <f>VLOOKUP(Table15[[#Headers],[POT]],Table2[#All],4,FALSE)*Table112[[#This Row],[POT]]</f>
        <v>0</v>
      </c>
      <c r="AE13">
        <f>VLOOKUP(Table15[[#Headers],[RHE]],Table2[#All],4,FALSE)*Table112[[#This Row],[RHE]]</f>
        <v>0</v>
      </c>
      <c r="AF13">
        <f>VLOOKUP(Table15[[#Headers],[RHO]],Table2[#All],4,FALSE)*Table112[[#This Row],[RHO]]</f>
        <v>1.3333333333333333</v>
      </c>
      <c r="AG13">
        <f>VLOOKUP(Table15[[#Headers],[RUB]],Table2[#All],4,FALSE)*Table112[[#This Row],[RUB]]</f>
        <v>1</v>
      </c>
      <c r="AH13">
        <f>VLOOKUP(Table15[[#Headers],[RUT]],Table2[#All],4,FALSE)*Table112[[#This Row],[RUT]]</f>
        <v>1.3333333333333333</v>
      </c>
      <c r="AI13">
        <f>VLOOKUP(Table15[[#Headers],[SCA]],Table2[#All],4,FALSE)*Table112[[#This Row],[SCA]]</f>
        <v>0</v>
      </c>
      <c r="AJ13">
        <f>VLOOKUP(Table15[[#Headers],[SIL]],Table2[#All],4,FALSE)*Table112[[#This Row],[SIL]]</f>
        <v>0</v>
      </c>
      <c r="AK13">
        <f>VLOOKUP(Table15[[#Headers],[SLV]],Table2[#All],4,FALSE)*Table112[[#This Row],[SLV]]</f>
        <v>0</v>
      </c>
      <c r="AL13">
        <f>VLOOKUP(Table15[[#Headers],[TAN]],Table2[#All],4,FALSE)*Table112[[#This Row],[TAN]]</f>
        <v>0</v>
      </c>
      <c r="AM13">
        <f>VLOOKUP(Table15[[#Headers],[TEL]],Table2[#All],4,FALSE)*Table112[[#This Row],[TEL]]</f>
        <v>0</v>
      </c>
      <c r="AN13">
        <f>VLOOKUP(Table15[[#Headers],[TIN]],Table2[#All],4,FALSE)*Table112[[#This Row],[TIN]]</f>
        <v>0</v>
      </c>
      <c r="AO13">
        <f>VLOOKUP(Table15[[#Headers],[TIT]],Table2[#All],4,FALSE)*Table112[[#This Row],[TIT]]</f>
        <v>0</v>
      </c>
      <c r="AP13">
        <f>VLOOKUP(Table15[[#Headers],[TUN]],Table2[#All],4,FALSE)*Table112[[#This Row],[TUN]]</f>
        <v>0</v>
      </c>
      <c r="AQ13">
        <f>VLOOKUP(Table15[[#Headers],[URA]],Table2[#All],4,FALSE)*Table112[[#This Row],[URA]]</f>
        <v>0</v>
      </c>
      <c r="AR13">
        <f>VLOOKUP(Table15[[#Headers],[VAN]],Table2[#All],4,FALSE)*Table112[[#This Row],[VAN]]</f>
        <v>0</v>
      </c>
      <c r="AS13">
        <f>VLOOKUP(Table15[[#Headers],[ZIN]],Table2[#All],4,FALSE)*Table112[[#This Row],[ZIN]]</f>
        <v>0</v>
      </c>
      <c r="AT13">
        <f>VLOOKUP(Table15[[#Headers],[ZIR]],Table2[#All],4,FALSE)*Table112[[#This Row],[ZIR]]</f>
        <v>0</v>
      </c>
      <c r="AU13">
        <f>VLOOKUP(Table15[[#Headers],[REE]],Table2[#All],4,FALSE)*Table112[[#This Row],[REE]]</f>
        <v>0</v>
      </c>
      <c r="AV13">
        <f t="shared" si="0"/>
        <v>7.4666666666666659</v>
      </c>
    </row>
    <row r="14" spans="1:48">
      <c r="A14" t="s">
        <v>629</v>
      </c>
      <c r="B14">
        <f>VLOOKUP(Table15[[#Headers],[ALU]],Table2[#All],4,FALSE)*Table112[[#This Row],[ALU]]</f>
        <v>0</v>
      </c>
      <c r="C14">
        <f>VLOOKUP(Table15[[#Headers],[ANT]],Table2[#All],4,FALSE)*Table112[[#This Row],[ANT]]</f>
        <v>0</v>
      </c>
      <c r="D14">
        <f>VLOOKUP(Table15[[#Headers],[ARS]],Table2[#All],4,FALSE)</f>
        <v>0.8</v>
      </c>
      <c r="E14">
        <f>VLOOKUP(Table15[[#Headers],[BAR]],Table2[#All],4,FALSE)*Table112[[#This Row],[BAR]]</f>
        <v>0</v>
      </c>
      <c r="F14">
        <f>VLOOKUP(Table15[[#Headers],[BER]],Table2[#All],4,FALSE)*Table112[[#This Row],[BER]]</f>
        <v>0</v>
      </c>
      <c r="G14">
        <f>VLOOKUP(Table15[[#Headers],[BIS]],Table2[#All],4,FALSE)*Table112[[#This Row],[BIS]]</f>
        <v>0</v>
      </c>
      <c r="H14">
        <f>VLOOKUP(Table15[[#Headers],[BOR]],Table2[#All],4,FALSE)*Table112[[#This Row],[BOR]]</f>
        <v>0.8</v>
      </c>
      <c r="I14">
        <f>VLOOKUP(Table15[[#Headers],[CES]],Table2[#All],4,FALSE)*Table112[[#This Row],[CES]]</f>
        <v>0</v>
      </c>
      <c r="J14">
        <f>VLOOKUP(Table15[[#Headers],[CHR]],Table2[#All],4,FALSE)*Table112[[#This Row],[CHR]]</f>
        <v>0</v>
      </c>
      <c r="K14">
        <f>VLOOKUP(Table15[[#Headers],[COB]],Table2[#All],4,FALSE)*Table112[[#This Row],[COB]]</f>
        <v>0</v>
      </c>
      <c r="L14">
        <f>VLOOKUP(Table15[[#Headers],[COP]],Table2[#All],4,FALSE)*Table112[[#This Row],[COP]]</f>
        <v>0.5714285714285714</v>
      </c>
      <c r="M14">
        <f>VLOOKUP(Table15[[#Headers],[FLU]],Table2[#All],4,FALSE)*Table112[[#This Row],[FLU]]</f>
        <v>0</v>
      </c>
      <c r="N14">
        <f>VLOOKUP(Table15[[#Headers],[GAL]],Table2[#All],4,FALSE)*Table112[[#This Row],[GAL]]</f>
        <v>0</v>
      </c>
      <c r="O14">
        <f>VLOOKUP(Table15[[#Headers],[GER]],Table2[#All],4,FALSE)*Table112[[#This Row],[GER]]</f>
        <v>0</v>
      </c>
      <c r="P14">
        <f>VLOOKUP(Table15[[#Headers],[GRA]],Table2[#All],4,FALSE)*Table112[[#This Row],[GRA]]</f>
        <v>0</v>
      </c>
      <c r="Q14">
        <f>VLOOKUP(Table15[[#Headers],[HAF]],Table2[#All],4,FALSE)*Table112[[#This Row],[HAF]]</f>
        <v>0</v>
      </c>
      <c r="R14">
        <f>VLOOKUP(Table15[[#Headers],[IND]],Table2[#All],4,FALSE)*Table112[[#This Row],[IND]]</f>
        <v>0</v>
      </c>
      <c r="S14">
        <f>VLOOKUP(Table15[[#Headers],[IRI]],Table2[#All],4,FALSE)*Table112[[#This Row],[IRI]]</f>
        <v>0</v>
      </c>
      <c r="T14">
        <f>VLOOKUP(Table15[[#Headers],[LED]],Table2[#All],4,FALSE)*Table112[[#This Row],[LED]]</f>
        <v>0</v>
      </c>
      <c r="U14">
        <f>VLOOKUP(Table15[[#Headers],[LIT]],Table2[#All],4,FALSE)*Table112[[#This Row],[LIT]]</f>
        <v>0.66666666666666663</v>
      </c>
      <c r="V14">
        <f>VLOOKUP(Table15[[#Headers],[MAG]],Table2[#All],4,FALSE)*Table112[[#This Row],[MAG]]</f>
        <v>0</v>
      </c>
      <c r="W14">
        <f>VLOOKUP(Table15[[#Headers],[MAN]],Table2[#All],4,FALSE)*Table112[[#This Row],[MAN]]</f>
        <v>0</v>
      </c>
      <c r="X14">
        <f>VLOOKUP(Table15[[#Headers],[MCO]],Table2[#All],4,FALSE)*Table112[[#This Row],[MCO]]</f>
        <v>0</v>
      </c>
      <c r="Y14">
        <f>VLOOKUP(Table15[[#Headers],[NIC]],Table2[#All],4,FALSE)*Table112[[#This Row],[NIC]]</f>
        <v>0</v>
      </c>
      <c r="Z14">
        <f>VLOOKUP(Table15[[#Headers],[NIO]],Table2[#All],4,FALSE)*Table112[[#This Row],[NIO]]</f>
        <v>0</v>
      </c>
      <c r="AA14">
        <f>VLOOKUP(Table15[[#Headers],[PAL]],Table2[#All],4,FALSE)*Table112[[#This Row],[PAL]]</f>
        <v>0</v>
      </c>
      <c r="AB14">
        <f>VLOOKUP(Table15[[#Headers],[PHO]],Table2[#All],4,FALSE)*Table112[[#This Row],[PHO]]</f>
        <v>0</v>
      </c>
      <c r="AC14">
        <f>VLOOKUP(Table15[[#Headers],[PLA]],Table2[#All],4,FALSE)*Table112[[#This Row],[PLA]]</f>
        <v>0</v>
      </c>
      <c r="AD14">
        <f>VLOOKUP(Table15[[#Headers],[POT]],Table2[#All],4,FALSE)*Table112[[#This Row],[POT]]</f>
        <v>0</v>
      </c>
      <c r="AE14">
        <f>VLOOKUP(Table15[[#Headers],[RHE]],Table2[#All],4,FALSE)*Table112[[#This Row],[RHE]]</f>
        <v>0.8</v>
      </c>
      <c r="AF14">
        <f>VLOOKUP(Table15[[#Headers],[RHO]],Table2[#All],4,FALSE)*Table112[[#This Row],[RHO]]</f>
        <v>0</v>
      </c>
      <c r="AG14">
        <f>VLOOKUP(Table15[[#Headers],[RUB]],Table2[#All],4,FALSE)*Table112[[#This Row],[RUB]]</f>
        <v>0</v>
      </c>
      <c r="AH14">
        <f>VLOOKUP(Table15[[#Headers],[RUT]],Table2[#All],4,FALSE)*Table112[[#This Row],[RUT]]</f>
        <v>0</v>
      </c>
      <c r="AI14">
        <f>VLOOKUP(Table15[[#Headers],[SCA]],Table2[#All],4,FALSE)*Table112[[#This Row],[SCA]]</f>
        <v>0</v>
      </c>
      <c r="AJ14">
        <f>VLOOKUP(Table15[[#Headers],[SIL]],Table2[#All],4,FALSE)*Table112[[#This Row],[SIL]]</f>
        <v>0</v>
      </c>
      <c r="AK14">
        <f>VLOOKUP(Table15[[#Headers],[SLV]],Table2[#All],4,FALSE)*Table112[[#This Row],[SLV]]</f>
        <v>0.66666666666666663</v>
      </c>
      <c r="AL14">
        <f>VLOOKUP(Table15[[#Headers],[TAN]],Table2[#All],4,FALSE)*Table112[[#This Row],[TAN]]</f>
        <v>0</v>
      </c>
      <c r="AM14">
        <f>VLOOKUP(Table15[[#Headers],[TEL]],Table2[#All],4,FALSE)*Table112[[#This Row],[TEL]]</f>
        <v>0</v>
      </c>
      <c r="AN14">
        <f>VLOOKUP(Table15[[#Headers],[TIN]],Table2[#All],4,FALSE)*Table112[[#This Row],[TIN]]</f>
        <v>0</v>
      </c>
      <c r="AO14">
        <f>VLOOKUP(Table15[[#Headers],[TIT]],Table2[#All],4,FALSE)*Table112[[#This Row],[TIT]]</f>
        <v>0</v>
      </c>
      <c r="AP14">
        <f>VLOOKUP(Table15[[#Headers],[TUN]],Table2[#All],4,FALSE)*Table112[[#This Row],[TUN]]</f>
        <v>0</v>
      </c>
      <c r="AQ14">
        <f>VLOOKUP(Table15[[#Headers],[URA]],Table2[#All],4,FALSE)*Table112[[#This Row],[URA]]</f>
        <v>0</v>
      </c>
      <c r="AR14">
        <f>VLOOKUP(Table15[[#Headers],[VAN]],Table2[#All],4,FALSE)*Table112[[#This Row],[VAN]]</f>
        <v>0</v>
      </c>
      <c r="AS14">
        <f>VLOOKUP(Table15[[#Headers],[ZIN]],Table2[#All],4,FALSE)*Table112[[#This Row],[ZIN]]</f>
        <v>0</v>
      </c>
      <c r="AT14">
        <f>VLOOKUP(Table15[[#Headers],[ZIR]],Table2[#All],4,FALSE)*Table112[[#This Row],[ZIR]]</f>
        <v>0</v>
      </c>
      <c r="AU14">
        <f>VLOOKUP(Table15[[#Headers],[REE]],Table2[#All],4,FALSE)*Table112[[#This Row],[REE]]</f>
        <v>0</v>
      </c>
      <c r="AV14">
        <f t="shared" si="0"/>
        <v>4.3047619047619055</v>
      </c>
    </row>
    <row r="15" spans="1:48">
      <c r="A15" t="s">
        <v>622</v>
      </c>
      <c r="B15">
        <f>VLOOKUP(Table15[[#Headers],[ALU]],Table2[#All],4,FALSE)*Table112[[#This Row],[ALU]]</f>
        <v>0</v>
      </c>
      <c r="C15">
        <f>VLOOKUP(Table15[[#Headers],[ANT]],Table2[#All],4,FALSE)*Table112[[#This Row],[ANT]]</f>
        <v>0</v>
      </c>
      <c r="D15">
        <f>VLOOKUP(Table15[[#Headers],[ARS]],Table2[#All],4,FALSE)</f>
        <v>0.8</v>
      </c>
      <c r="E15">
        <f>VLOOKUP(Table15[[#Headers],[BAR]],Table2[#All],4,FALSE)*Table112[[#This Row],[BAR]]</f>
        <v>0.8</v>
      </c>
      <c r="F15">
        <f>VLOOKUP(Table15[[#Headers],[BER]],Table2[#All],4,FALSE)*Table112[[#This Row],[BER]]</f>
        <v>0</v>
      </c>
      <c r="G15">
        <f>VLOOKUP(Table15[[#Headers],[BIS]],Table2[#All],4,FALSE)*Table112[[#This Row],[BIS]]</f>
        <v>0</v>
      </c>
      <c r="H15">
        <f>VLOOKUP(Table15[[#Headers],[BOR]],Table2[#All],4,FALSE)*Table112[[#This Row],[BOR]]</f>
        <v>0</v>
      </c>
      <c r="I15">
        <f>VLOOKUP(Table15[[#Headers],[CES]],Table2[#All],4,FALSE)*Table112[[#This Row],[CES]]</f>
        <v>0</v>
      </c>
      <c r="J15">
        <f>VLOOKUP(Table15[[#Headers],[CHR]],Table2[#All],4,FALSE)*Table112[[#This Row],[CHR]]</f>
        <v>0.8</v>
      </c>
      <c r="K15">
        <f>VLOOKUP(Table15[[#Headers],[COB]],Table2[#All],4,FALSE)*Table112[[#This Row],[COB]]</f>
        <v>0</v>
      </c>
      <c r="L15">
        <f>VLOOKUP(Table15[[#Headers],[COP]],Table2[#All],4,FALSE)*Table112[[#This Row],[COP]]</f>
        <v>0</v>
      </c>
      <c r="M15">
        <f>VLOOKUP(Table15[[#Headers],[FLU]],Table2[#All],4,FALSE)*Table112[[#This Row],[FLU]]</f>
        <v>0</v>
      </c>
      <c r="N15">
        <f>VLOOKUP(Table15[[#Headers],[GAL]],Table2[#All],4,FALSE)*Table112[[#This Row],[GAL]]</f>
        <v>0.8</v>
      </c>
      <c r="O15">
        <f>VLOOKUP(Table15[[#Headers],[GER]],Table2[#All],4,FALSE)*Table112[[#This Row],[GER]]</f>
        <v>0</v>
      </c>
      <c r="P15">
        <f>VLOOKUP(Table15[[#Headers],[GRA]],Table2[#All],4,FALSE)*Table112[[#This Row],[GRA]]</f>
        <v>0</v>
      </c>
      <c r="Q15">
        <f>VLOOKUP(Table15[[#Headers],[HAF]],Table2[#All],4,FALSE)*Table112[[#This Row],[HAF]]</f>
        <v>0</v>
      </c>
      <c r="R15">
        <f>VLOOKUP(Table15[[#Headers],[IND]],Table2[#All],4,FALSE)*Table112[[#This Row],[IND]]</f>
        <v>0</v>
      </c>
      <c r="S15">
        <f>VLOOKUP(Table15[[#Headers],[IRI]],Table2[#All],4,FALSE)*Table112[[#This Row],[IRI]]</f>
        <v>0</v>
      </c>
      <c r="T15">
        <f>VLOOKUP(Table15[[#Headers],[LED]],Table2[#All],4,FALSE)*Table112[[#This Row],[LED]]</f>
        <v>0</v>
      </c>
      <c r="U15">
        <f>VLOOKUP(Table15[[#Headers],[LIT]],Table2[#All],4,FALSE)*Table112[[#This Row],[LIT]]</f>
        <v>0</v>
      </c>
      <c r="V15">
        <f>VLOOKUP(Table15[[#Headers],[MAG]],Table2[#All],4,FALSE)*Table112[[#This Row],[MAG]]</f>
        <v>0</v>
      </c>
      <c r="W15">
        <f>VLOOKUP(Table15[[#Headers],[MAN]],Table2[#All],4,FALSE)*Table112[[#This Row],[MAN]]</f>
        <v>0</v>
      </c>
      <c r="X15">
        <f>VLOOKUP(Table15[[#Headers],[MCO]],Table2[#All],4,FALSE)*Table112[[#This Row],[MCO]]</f>
        <v>0</v>
      </c>
      <c r="Y15">
        <f>VLOOKUP(Table15[[#Headers],[NIC]],Table2[#All],4,FALSE)*Table112[[#This Row],[NIC]]</f>
        <v>0</v>
      </c>
      <c r="Z15">
        <f>VLOOKUP(Table15[[#Headers],[NIO]],Table2[#All],4,FALSE)*Table112[[#This Row],[NIO]]</f>
        <v>0</v>
      </c>
      <c r="AA15">
        <f>VLOOKUP(Table15[[#Headers],[PAL]],Table2[#All],4,FALSE)*Table112[[#This Row],[PAL]]</f>
        <v>0</v>
      </c>
      <c r="AB15">
        <f>VLOOKUP(Table15[[#Headers],[PHO]],Table2[#All],4,FALSE)*Table112[[#This Row],[PHO]]</f>
        <v>0</v>
      </c>
      <c r="AC15">
        <f>VLOOKUP(Table15[[#Headers],[PLA]],Table2[#All],4,FALSE)*Table112[[#This Row],[PLA]]</f>
        <v>0</v>
      </c>
      <c r="AD15">
        <f>VLOOKUP(Table15[[#Headers],[POT]],Table2[#All],4,FALSE)*Table112[[#This Row],[POT]]</f>
        <v>0</v>
      </c>
      <c r="AE15">
        <f>VLOOKUP(Table15[[#Headers],[RHE]],Table2[#All],4,FALSE)*Table112[[#This Row],[RHE]]</f>
        <v>0.8</v>
      </c>
      <c r="AF15">
        <f>VLOOKUP(Table15[[#Headers],[RHO]],Table2[#All],4,FALSE)*Table112[[#This Row],[RHO]]</f>
        <v>0</v>
      </c>
      <c r="AG15">
        <f>VLOOKUP(Table15[[#Headers],[RUB]],Table2[#All],4,FALSE)*Table112[[#This Row],[RUB]]</f>
        <v>0</v>
      </c>
      <c r="AH15">
        <f>VLOOKUP(Table15[[#Headers],[RUT]],Table2[#All],4,FALSE)*Table112[[#This Row],[RUT]]</f>
        <v>0</v>
      </c>
      <c r="AI15">
        <f>VLOOKUP(Table15[[#Headers],[SCA]],Table2[#All],4,FALSE)*Table112[[#This Row],[SCA]]</f>
        <v>0</v>
      </c>
      <c r="AJ15">
        <f>VLOOKUP(Table15[[#Headers],[SIL]],Table2[#All],4,FALSE)*Table112[[#This Row],[SIL]]</f>
        <v>0</v>
      </c>
      <c r="AK15">
        <f>VLOOKUP(Table15[[#Headers],[SLV]],Table2[#All],4,FALSE)*Table112[[#This Row],[SLV]]</f>
        <v>0</v>
      </c>
      <c r="AL15">
        <f>VLOOKUP(Table15[[#Headers],[TAN]],Table2[#All],4,FALSE)*Table112[[#This Row],[TAN]]</f>
        <v>0</v>
      </c>
      <c r="AM15">
        <f>VLOOKUP(Table15[[#Headers],[TEL]],Table2[#All],4,FALSE)*Table112[[#This Row],[TEL]]</f>
        <v>0</v>
      </c>
      <c r="AN15">
        <f>VLOOKUP(Table15[[#Headers],[TIN]],Table2[#All],4,FALSE)*Table112[[#This Row],[TIN]]</f>
        <v>0</v>
      </c>
      <c r="AO15">
        <f>VLOOKUP(Table15[[#Headers],[TIT]],Table2[#All],4,FALSE)*Table112[[#This Row],[TIT]]</f>
        <v>0</v>
      </c>
      <c r="AP15">
        <f>VLOOKUP(Table15[[#Headers],[TUN]],Table2[#All],4,FALSE)*Table112[[#This Row],[TUN]]</f>
        <v>0</v>
      </c>
      <c r="AQ15">
        <f>VLOOKUP(Table15[[#Headers],[URA]],Table2[#All],4,FALSE)*Table112[[#This Row],[URA]]</f>
        <v>0.5</v>
      </c>
      <c r="AR15">
        <f>VLOOKUP(Table15[[#Headers],[VAN]],Table2[#All],4,FALSE)*Table112[[#This Row],[VAN]]</f>
        <v>0</v>
      </c>
      <c r="AS15">
        <f>VLOOKUP(Table15[[#Headers],[ZIN]],Table2[#All],4,FALSE)*Table112[[#This Row],[ZIN]]</f>
        <v>0</v>
      </c>
      <c r="AT15">
        <f>VLOOKUP(Table15[[#Headers],[ZIR]],Table2[#All],4,FALSE)*Table112[[#This Row],[ZIR]]</f>
        <v>0</v>
      </c>
      <c r="AU15">
        <f>VLOOKUP(Table15[[#Headers],[REE]],Table2[#All],4,FALSE)*Table112[[#This Row],[REE]]</f>
        <v>0</v>
      </c>
      <c r="AV15">
        <f t="shared" si="0"/>
        <v>4.5</v>
      </c>
    </row>
    <row r="16" spans="1:48">
      <c r="A16" t="s">
        <v>704</v>
      </c>
      <c r="B16">
        <f>VLOOKUP(Table15[[#Headers],[ALU]],Table2[#All],4,FALSE)*Table112[[#This Row],[ALU]]</f>
        <v>0</v>
      </c>
      <c r="C16">
        <f>VLOOKUP(Table15[[#Headers],[ANT]],Table2[#All],4,FALSE)*Table112[[#This Row],[ANT]]</f>
        <v>0</v>
      </c>
      <c r="D16">
        <f>VLOOKUP(Table15[[#Headers],[ARS]],Table2[#All],4,FALSE)</f>
        <v>0.8</v>
      </c>
      <c r="E16">
        <f>VLOOKUP(Table15[[#Headers],[BAR]],Table2[#All],4,FALSE)*Table112[[#This Row],[BAR]]</f>
        <v>0</v>
      </c>
      <c r="F16">
        <f>VLOOKUP(Table15[[#Headers],[BER]],Table2[#All],4,FALSE)*Table112[[#This Row],[BER]]</f>
        <v>0.8</v>
      </c>
      <c r="G16">
        <f>VLOOKUP(Table15[[#Headers],[BIS]],Table2[#All],4,FALSE)*Table112[[#This Row],[BIS]]</f>
        <v>0</v>
      </c>
      <c r="H16">
        <f>VLOOKUP(Table15[[#Headers],[BOR]],Table2[#All],4,FALSE)*Table112[[#This Row],[BOR]]</f>
        <v>0</v>
      </c>
      <c r="I16">
        <f>VLOOKUP(Table15[[#Headers],[CES]],Table2[#All],4,FALSE)*Table112[[#This Row],[CES]]</f>
        <v>0</v>
      </c>
      <c r="J16">
        <f>VLOOKUP(Table15[[#Headers],[CHR]],Table2[#All],4,FALSE)*Table112[[#This Row],[CHR]]</f>
        <v>0</v>
      </c>
      <c r="K16">
        <f>VLOOKUP(Table15[[#Headers],[COB]],Table2[#All],4,FALSE)*Table112[[#This Row],[COB]]</f>
        <v>0</v>
      </c>
      <c r="L16">
        <f>VLOOKUP(Table15[[#Headers],[COP]],Table2[#All],4,FALSE)*Table112[[#This Row],[COP]]</f>
        <v>0</v>
      </c>
      <c r="M16">
        <f>VLOOKUP(Table15[[#Headers],[FLU]],Table2[#All],4,FALSE)*Table112[[#This Row],[FLU]]</f>
        <v>0</v>
      </c>
      <c r="N16">
        <f>VLOOKUP(Table15[[#Headers],[GAL]],Table2[#All],4,FALSE)*Table112[[#This Row],[GAL]]</f>
        <v>0</v>
      </c>
      <c r="O16">
        <f>VLOOKUP(Table15[[#Headers],[GER]],Table2[#All],4,FALSE)*Table112[[#This Row],[GER]]</f>
        <v>0</v>
      </c>
      <c r="P16">
        <f>VLOOKUP(Table15[[#Headers],[GRA]],Table2[#All],4,FALSE)*Table112[[#This Row],[GRA]]</f>
        <v>0.66666666666666663</v>
      </c>
      <c r="Q16">
        <f>VLOOKUP(Table15[[#Headers],[HAF]],Table2[#All],4,FALSE)*Table112[[#This Row],[HAF]]</f>
        <v>0.8</v>
      </c>
      <c r="R16">
        <f>VLOOKUP(Table15[[#Headers],[IND]],Table2[#All],4,FALSE)*Table112[[#This Row],[IND]]</f>
        <v>0</v>
      </c>
      <c r="S16">
        <f>VLOOKUP(Table15[[#Headers],[IRI]],Table2[#All],4,FALSE)*Table112[[#This Row],[IRI]]</f>
        <v>0</v>
      </c>
      <c r="T16">
        <f>VLOOKUP(Table15[[#Headers],[LED]],Table2[#All],4,FALSE)*Table112[[#This Row],[LED]]</f>
        <v>0</v>
      </c>
      <c r="U16">
        <f>VLOOKUP(Table15[[#Headers],[LIT]],Table2[#All],4,FALSE)*Table112[[#This Row],[LIT]]</f>
        <v>0</v>
      </c>
      <c r="V16">
        <f>VLOOKUP(Table15[[#Headers],[MAG]],Table2[#All],4,FALSE)*Table112[[#This Row],[MAG]]</f>
        <v>0</v>
      </c>
      <c r="W16">
        <f>VLOOKUP(Table15[[#Headers],[MAN]],Table2[#All],4,FALSE)*Table112[[#This Row],[MAN]]</f>
        <v>0</v>
      </c>
      <c r="X16">
        <f>VLOOKUP(Table15[[#Headers],[MCO]],Table2[#All],4,FALSE)*Table112[[#This Row],[MCO]]</f>
        <v>0</v>
      </c>
      <c r="Y16">
        <f>VLOOKUP(Table15[[#Headers],[NIC]],Table2[#All],4,FALSE)*Table112[[#This Row],[NIC]]</f>
        <v>0</v>
      </c>
      <c r="Z16">
        <f>VLOOKUP(Table15[[#Headers],[NIO]],Table2[#All],4,FALSE)*Table112[[#This Row],[NIO]]</f>
        <v>0</v>
      </c>
      <c r="AA16">
        <f>VLOOKUP(Table15[[#Headers],[PAL]],Table2[#All],4,FALSE)*Table112[[#This Row],[PAL]]</f>
        <v>0</v>
      </c>
      <c r="AB16">
        <f>VLOOKUP(Table15[[#Headers],[PHO]],Table2[#All],4,FALSE)*Table112[[#This Row],[PHO]]</f>
        <v>0</v>
      </c>
      <c r="AC16">
        <f>VLOOKUP(Table15[[#Headers],[PLA]],Table2[#All],4,FALSE)*Table112[[#This Row],[PLA]]</f>
        <v>0</v>
      </c>
      <c r="AD16">
        <f>VLOOKUP(Table15[[#Headers],[POT]],Table2[#All],4,FALSE)*Table112[[#This Row],[POT]]</f>
        <v>0</v>
      </c>
      <c r="AE16">
        <f>VLOOKUP(Table15[[#Headers],[RHE]],Table2[#All],4,FALSE)*Table112[[#This Row],[RHE]]</f>
        <v>0</v>
      </c>
      <c r="AF16">
        <f>VLOOKUP(Table15[[#Headers],[RHO]],Table2[#All],4,FALSE)*Table112[[#This Row],[RHO]]</f>
        <v>0</v>
      </c>
      <c r="AG16">
        <f>VLOOKUP(Table15[[#Headers],[RUB]],Table2[#All],4,FALSE)*Table112[[#This Row],[RUB]]</f>
        <v>0</v>
      </c>
      <c r="AH16">
        <f>VLOOKUP(Table15[[#Headers],[RUT]],Table2[#All],4,FALSE)*Table112[[#This Row],[RUT]]</f>
        <v>0</v>
      </c>
      <c r="AI16">
        <f>VLOOKUP(Table15[[#Headers],[SCA]],Table2[#All],4,FALSE)*Table112[[#This Row],[SCA]]</f>
        <v>0</v>
      </c>
      <c r="AJ16">
        <f>VLOOKUP(Table15[[#Headers],[SIL]],Table2[#All],4,FALSE)*Table112[[#This Row],[SIL]]</f>
        <v>0</v>
      </c>
      <c r="AK16">
        <f>VLOOKUP(Table15[[#Headers],[SLV]],Table2[#All],4,FALSE)*Table112[[#This Row],[SLV]]</f>
        <v>0</v>
      </c>
      <c r="AL16">
        <f>VLOOKUP(Table15[[#Headers],[TAN]],Table2[#All],4,FALSE)*Table112[[#This Row],[TAN]]</f>
        <v>0</v>
      </c>
      <c r="AM16">
        <f>VLOOKUP(Table15[[#Headers],[TEL]],Table2[#All],4,FALSE)*Table112[[#This Row],[TEL]]</f>
        <v>0</v>
      </c>
      <c r="AN16">
        <f>VLOOKUP(Table15[[#Headers],[TIN]],Table2[#All],4,FALSE)*Table112[[#This Row],[TIN]]</f>
        <v>0</v>
      </c>
      <c r="AO16">
        <f>VLOOKUP(Table15[[#Headers],[TIT]],Table2[#All],4,FALSE)*Table112[[#This Row],[TIT]]</f>
        <v>0.8</v>
      </c>
      <c r="AP16">
        <f>VLOOKUP(Table15[[#Headers],[TUN]],Table2[#All],4,FALSE)*Table112[[#This Row],[TUN]]</f>
        <v>0</v>
      </c>
      <c r="AQ16">
        <f>VLOOKUP(Table15[[#Headers],[URA]],Table2[#All],4,FALSE)*Table112[[#This Row],[URA]]</f>
        <v>0</v>
      </c>
      <c r="AR16">
        <f>VLOOKUP(Table15[[#Headers],[VAN]],Table2[#All],4,FALSE)*Table112[[#This Row],[VAN]]</f>
        <v>0</v>
      </c>
      <c r="AS16">
        <f>VLOOKUP(Table15[[#Headers],[ZIN]],Table2[#All],4,FALSE)*Table112[[#This Row],[ZIN]]</f>
        <v>0</v>
      </c>
      <c r="AT16">
        <f>VLOOKUP(Table15[[#Headers],[ZIR]],Table2[#All],4,FALSE)*Table112[[#This Row],[ZIR]]</f>
        <v>0.8</v>
      </c>
      <c r="AU16">
        <f>VLOOKUP(Table15[[#Headers],[REE]],Table2[#All],4,FALSE)*Table112[[#This Row],[REE]]</f>
        <v>0</v>
      </c>
      <c r="AV16">
        <f t="shared" si="0"/>
        <v>4.6666666666666661</v>
      </c>
    </row>
    <row r="17" spans="1:48">
      <c r="A17" t="s">
        <v>588</v>
      </c>
      <c r="B17">
        <f>VLOOKUP(Table15[[#Headers],[ALU]],Table2[#All],4,FALSE)*Table112[[#This Row],[ALU]]</f>
        <v>0</v>
      </c>
      <c r="C17">
        <f>VLOOKUP(Table15[[#Headers],[ANT]],Table2[#All],4,FALSE)*Table112[[#This Row],[ANT]]</f>
        <v>0</v>
      </c>
      <c r="D17">
        <f>VLOOKUP(Table15[[#Headers],[ARS]],Table2[#All],4,FALSE)</f>
        <v>0.8</v>
      </c>
      <c r="E17">
        <f>VLOOKUP(Table15[[#Headers],[BAR]],Table2[#All],4,FALSE)*Table112[[#This Row],[BAR]]</f>
        <v>0</v>
      </c>
      <c r="F17">
        <f>VLOOKUP(Table15[[#Headers],[BER]],Table2[#All],4,FALSE)*Table112[[#This Row],[BER]]</f>
        <v>0</v>
      </c>
      <c r="G17">
        <f>VLOOKUP(Table15[[#Headers],[BIS]],Table2[#All],4,FALSE)*Table112[[#This Row],[BIS]]</f>
        <v>0</v>
      </c>
      <c r="H17">
        <f>VLOOKUP(Table15[[#Headers],[BOR]],Table2[#All],4,FALSE)*Table112[[#This Row],[BOR]]</f>
        <v>0</v>
      </c>
      <c r="I17">
        <f>VLOOKUP(Table15[[#Headers],[CES]],Table2[#All],4,FALSE)*Table112[[#This Row],[CES]]</f>
        <v>0</v>
      </c>
      <c r="J17">
        <f>VLOOKUP(Table15[[#Headers],[CHR]],Table2[#All],4,FALSE)*Table112[[#This Row],[CHR]]</f>
        <v>0</v>
      </c>
      <c r="K17">
        <f>VLOOKUP(Table15[[#Headers],[COB]],Table2[#All],4,FALSE)*Table112[[#This Row],[COB]]</f>
        <v>0.8</v>
      </c>
      <c r="L17">
        <f>VLOOKUP(Table15[[#Headers],[COP]],Table2[#All],4,FALSE)*Table112[[#This Row],[COP]]</f>
        <v>0.5714285714285714</v>
      </c>
      <c r="M17">
        <f>VLOOKUP(Table15[[#Headers],[FLU]],Table2[#All],4,FALSE)*Table112[[#This Row],[FLU]]</f>
        <v>0</v>
      </c>
      <c r="N17">
        <f>VLOOKUP(Table15[[#Headers],[GAL]],Table2[#All],4,FALSE)*Table112[[#This Row],[GAL]]</f>
        <v>0</v>
      </c>
      <c r="O17">
        <f>VLOOKUP(Table15[[#Headers],[GER]],Table2[#All],4,FALSE)*Table112[[#This Row],[GER]]</f>
        <v>0</v>
      </c>
      <c r="P17">
        <f>VLOOKUP(Table15[[#Headers],[GRA]],Table2[#All],4,FALSE)*Table112[[#This Row],[GRA]]</f>
        <v>0</v>
      </c>
      <c r="Q17">
        <f>VLOOKUP(Table15[[#Headers],[HAF]],Table2[#All],4,FALSE)*Table112[[#This Row],[HAF]]</f>
        <v>0</v>
      </c>
      <c r="R17">
        <f>VLOOKUP(Table15[[#Headers],[IND]],Table2[#All],4,FALSE)*Table112[[#This Row],[IND]]</f>
        <v>0</v>
      </c>
      <c r="S17">
        <f>VLOOKUP(Table15[[#Headers],[IRI]],Table2[#All],4,FALSE)*Table112[[#This Row],[IRI]]</f>
        <v>0</v>
      </c>
      <c r="T17">
        <f>VLOOKUP(Table15[[#Headers],[LED]],Table2[#All],4,FALSE)*Table112[[#This Row],[LED]]</f>
        <v>0</v>
      </c>
      <c r="U17">
        <f>VLOOKUP(Table15[[#Headers],[LIT]],Table2[#All],4,FALSE)*Table112[[#This Row],[LIT]]</f>
        <v>0</v>
      </c>
      <c r="V17">
        <f>VLOOKUP(Table15[[#Headers],[MAG]],Table2[#All],4,FALSE)*Table112[[#This Row],[MAG]]</f>
        <v>0</v>
      </c>
      <c r="W17">
        <f>VLOOKUP(Table15[[#Headers],[MAN]],Table2[#All],4,FALSE)*Table112[[#This Row],[MAN]]</f>
        <v>0</v>
      </c>
      <c r="X17">
        <f>VLOOKUP(Table15[[#Headers],[MCO]],Table2[#All],4,FALSE)*Table112[[#This Row],[MCO]]</f>
        <v>0</v>
      </c>
      <c r="Y17">
        <f>VLOOKUP(Table15[[#Headers],[NIC]],Table2[#All],4,FALSE)*Table112[[#This Row],[NIC]]</f>
        <v>0</v>
      </c>
      <c r="Z17">
        <f>VLOOKUP(Table15[[#Headers],[NIO]],Table2[#All],4,FALSE)*Table112[[#This Row],[NIO]]</f>
        <v>0</v>
      </c>
      <c r="AA17">
        <f>VLOOKUP(Table15[[#Headers],[PAL]],Table2[#All],4,FALSE)*Table112[[#This Row],[PAL]]</f>
        <v>0</v>
      </c>
      <c r="AB17">
        <f>VLOOKUP(Table15[[#Headers],[PHO]],Table2[#All],4,FALSE)*Table112[[#This Row],[PHO]]</f>
        <v>0</v>
      </c>
      <c r="AC17">
        <f>VLOOKUP(Table15[[#Headers],[PLA]],Table2[#All],4,FALSE)*Table112[[#This Row],[PLA]]</f>
        <v>0</v>
      </c>
      <c r="AD17">
        <f>VLOOKUP(Table15[[#Headers],[POT]],Table2[#All],4,FALSE)*Table112[[#This Row],[POT]]</f>
        <v>0</v>
      </c>
      <c r="AE17">
        <f>VLOOKUP(Table15[[#Headers],[RHE]],Table2[#All],4,FALSE)*Table112[[#This Row],[RHE]]</f>
        <v>0</v>
      </c>
      <c r="AF17">
        <f>VLOOKUP(Table15[[#Headers],[RHO]],Table2[#All],4,FALSE)*Table112[[#This Row],[RHO]]</f>
        <v>0</v>
      </c>
      <c r="AG17">
        <f>VLOOKUP(Table15[[#Headers],[RUB]],Table2[#All],4,FALSE)*Table112[[#This Row],[RUB]]</f>
        <v>0</v>
      </c>
      <c r="AH17">
        <f>VLOOKUP(Table15[[#Headers],[RUT]],Table2[#All],4,FALSE)*Table112[[#This Row],[RUT]]</f>
        <v>0</v>
      </c>
      <c r="AI17">
        <f>VLOOKUP(Table15[[#Headers],[SCA]],Table2[#All],4,FALSE)*Table112[[#This Row],[SCA]]</f>
        <v>0</v>
      </c>
      <c r="AJ17">
        <f>VLOOKUP(Table15[[#Headers],[SIL]],Table2[#All],4,FALSE)*Table112[[#This Row],[SIL]]</f>
        <v>0</v>
      </c>
      <c r="AK17">
        <f>VLOOKUP(Table15[[#Headers],[SLV]],Table2[#All],4,FALSE)*Table112[[#This Row],[SLV]]</f>
        <v>0</v>
      </c>
      <c r="AL17">
        <f>VLOOKUP(Table15[[#Headers],[TAN]],Table2[#All],4,FALSE)*Table112[[#This Row],[TAN]]</f>
        <v>0.8</v>
      </c>
      <c r="AM17">
        <f>VLOOKUP(Table15[[#Headers],[TEL]],Table2[#All],4,FALSE)*Table112[[#This Row],[TEL]]</f>
        <v>0</v>
      </c>
      <c r="AN17">
        <f>VLOOKUP(Table15[[#Headers],[TIN]],Table2[#All],4,FALSE)*Table112[[#This Row],[TIN]]</f>
        <v>0.66666666666666663</v>
      </c>
      <c r="AO17">
        <f>VLOOKUP(Table15[[#Headers],[TIT]],Table2[#All],4,FALSE)*Table112[[#This Row],[TIT]]</f>
        <v>0</v>
      </c>
      <c r="AP17">
        <f>VLOOKUP(Table15[[#Headers],[TUN]],Table2[#All],4,FALSE)*Table112[[#This Row],[TUN]]</f>
        <v>0</v>
      </c>
      <c r="AQ17">
        <f>VLOOKUP(Table15[[#Headers],[URA]],Table2[#All],4,FALSE)*Table112[[#This Row],[URA]]</f>
        <v>0</v>
      </c>
      <c r="AR17">
        <f>VLOOKUP(Table15[[#Headers],[VAN]],Table2[#All],4,FALSE)*Table112[[#This Row],[VAN]]</f>
        <v>0</v>
      </c>
      <c r="AS17">
        <f>VLOOKUP(Table15[[#Headers],[ZIN]],Table2[#All],4,FALSE)*Table112[[#This Row],[ZIN]]</f>
        <v>0</v>
      </c>
      <c r="AT17">
        <f>VLOOKUP(Table15[[#Headers],[ZIR]],Table2[#All],4,FALSE)*Table112[[#This Row],[ZIR]]</f>
        <v>0</v>
      </c>
      <c r="AU17">
        <f>VLOOKUP(Table15[[#Headers],[REE]],Table2[#All],4,FALSE)*Table112[[#This Row],[REE]]</f>
        <v>0</v>
      </c>
      <c r="AV17">
        <f t="shared" si="0"/>
        <v>3.638095238095238</v>
      </c>
    </row>
    <row r="18" spans="1:48">
      <c r="A18" t="s">
        <v>548</v>
      </c>
      <c r="B18">
        <f>VLOOKUP(Table15[[#Headers],[ALU]],Table2[#All],4,FALSE)*Table112[[#This Row],[ALU]]</f>
        <v>0</v>
      </c>
      <c r="C18">
        <f>VLOOKUP(Table15[[#Headers],[ANT]],Table2[#All],4,FALSE)*Table112[[#This Row],[ANT]]</f>
        <v>0</v>
      </c>
      <c r="D18">
        <f>VLOOKUP(Table15[[#Headers],[ARS]],Table2[#All],4,FALSE)</f>
        <v>0.8</v>
      </c>
      <c r="E18">
        <f>VLOOKUP(Table15[[#Headers],[BAR]],Table2[#All],4,FALSE)*Table112[[#This Row],[BAR]]</f>
        <v>0</v>
      </c>
      <c r="F18">
        <f>VLOOKUP(Table15[[#Headers],[BER]],Table2[#All],4,FALSE)*Table112[[#This Row],[BER]]</f>
        <v>0.8</v>
      </c>
      <c r="G18">
        <f>VLOOKUP(Table15[[#Headers],[BIS]],Table2[#All],4,FALSE)*Table112[[#This Row],[BIS]]</f>
        <v>0</v>
      </c>
      <c r="H18">
        <f>VLOOKUP(Table15[[#Headers],[BOR]],Table2[#All],4,FALSE)*Table112[[#This Row],[BOR]]</f>
        <v>0</v>
      </c>
      <c r="I18">
        <f>VLOOKUP(Table15[[#Headers],[CES]],Table2[#All],4,FALSE)*Table112[[#This Row],[CES]]</f>
        <v>0</v>
      </c>
      <c r="J18">
        <f>VLOOKUP(Table15[[#Headers],[CHR]],Table2[#All],4,FALSE)*Table112[[#This Row],[CHR]]</f>
        <v>0</v>
      </c>
      <c r="K18">
        <f>VLOOKUP(Table15[[#Headers],[COB]],Table2[#All],4,FALSE)*Table112[[#This Row],[COB]]</f>
        <v>0</v>
      </c>
      <c r="L18">
        <f>VLOOKUP(Table15[[#Headers],[COP]],Table2[#All],4,FALSE)*Table112[[#This Row],[COP]]</f>
        <v>0</v>
      </c>
      <c r="M18">
        <f>VLOOKUP(Table15[[#Headers],[FLU]],Table2[#All],4,FALSE)*Table112[[#This Row],[FLU]]</f>
        <v>0</v>
      </c>
      <c r="N18">
        <f>VLOOKUP(Table15[[#Headers],[GAL]],Table2[#All],4,FALSE)*Table112[[#This Row],[GAL]]</f>
        <v>0</v>
      </c>
      <c r="O18">
        <f>VLOOKUP(Table15[[#Headers],[GER]],Table2[#All],4,FALSE)*Table112[[#This Row],[GER]]</f>
        <v>0</v>
      </c>
      <c r="P18">
        <f>VLOOKUP(Table15[[#Headers],[GRA]],Table2[#All],4,FALSE)*Table112[[#This Row],[GRA]]</f>
        <v>0.66666666666666663</v>
      </c>
      <c r="Q18">
        <f>VLOOKUP(Table15[[#Headers],[HAF]],Table2[#All],4,FALSE)*Table112[[#This Row],[HAF]]</f>
        <v>0</v>
      </c>
      <c r="R18">
        <f>VLOOKUP(Table15[[#Headers],[IND]],Table2[#All],4,FALSE)*Table112[[#This Row],[IND]]</f>
        <v>0</v>
      </c>
      <c r="S18">
        <f>VLOOKUP(Table15[[#Headers],[IRI]],Table2[#All],4,FALSE)*Table112[[#This Row],[IRI]]</f>
        <v>0</v>
      </c>
      <c r="T18">
        <f>VLOOKUP(Table15[[#Headers],[LED]],Table2[#All],4,FALSE)*Table112[[#This Row],[LED]]</f>
        <v>0</v>
      </c>
      <c r="U18">
        <f>VLOOKUP(Table15[[#Headers],[LIT]],Table2[#All],4,FALSE)*Table112[[#This Row],[LIT]]</f>
        <v>0</v>
      </c>
      <c r="V18">
        <f>VLOOKUP(Table15[[#Headers],[MAG]],Table2[#All],4,FALSE)*Table112[[#This Row],[MAG]]</f>
        <v>0</v>
      </c>
      <c r="W18">
        <f>VLOOKUP(Table15[[#Headers],[MAN]],Table2[#All],4,FALSE)*Table112[[#This Row],[MAN]]</f>
        <v>0</v>
      </c>
      <c r="X18">
        <f>VLOOKUP(Table15[[#Headers],[MCO]],Table2[#All],4,FALSE)*Table112[[#This Row],[MCO]]</f>
        <v>0</v>
      </c>
      <c r="Y18">
        <f>VLOOKUP(Table15[[#Headers],[NIC]],Table2[#All],4,FALSE)*Table112[[#This Row],[NIC]]</f>
        <v>0</v>
      </c>
      <c r="Z18">
        <f>VLOOKUP(Table15[[#Headers],[NIO]],Table2[#All],4,FALSE)*Table112[[#This Row],[NIO]]</f>
        <v>0</v>
      </c>
      <c r="AA18">
        <f>VLOOKUP(Table15[[#Headers],[PAL]],Table2[#All],4,FALSE)*Table112[[#This Row],[PAL]]</f>
        <v>0</v>
      </c>
      <c r="AB18">
        <f>VLOOKUP(Table15[[#Headers],[PHO]],Table2[#All],4,FALSE)*Table112[[#This Row],[PHO]]</f>
        <v>0</v>
      </c>
      <c r="AC18">
        <f>VLOOKUP(Table15[[#Headers],[PLA]],Table2[#All],4,FALSE)*Table112[[#This Row],[PLA]]</f>
        <v>0</v>
      </c>
      <c r="AD18">
        <f>VLOOKUP(Table15[[#Headers],[POT]],Table2[#All],4,FALSE)*Table112[[#This Row],[POT]]</f>
        <v>0</v>
      </c>
      <c r="AE18">
        <f>VLOOKUP(Table15[[#Headers],[RHE]],Table2[#All],4,FALSE)*Table112[[#This Row],[RHE]]</f>
        <v>0</v>
      </c>
      <c r="AF18">
        <f>VLOOKUP(Table15[[#Headers],[RHO]],Table2[#All],4,FALSE)*Table112[[#This Row],[RHO]]</f>
        <v>0</v>
      </c>
      <c r="AG18">
        <f>VLOOKUP(Table15[[#Headers],[RUB]],Table2[#All],4,FALSE)*Table112[[#This Row],[RUB]]</f>
        <v>0</v>
      </c>
      <c r="AH18">
        <f>VLOOKUP(Table15[[#Headers],[RUT]],Table2[#All],4,FALSE)*Table112[[#This Row],[RUT]]</f>
        <v>0</v>
      </c>
      <c r="AI18">
        <f>VLOOKUP(Table15[[#Headers],[SCA]],Table2[#All],4,FALSE)*Table112[[#This Row],[SCA]]</f>
        <v>0.6</v>
      </c>
      <c r="AJ18">
        <f>VLOOKUP(Table15[[#Headers],[SIL]],Table2[#All],4,FALSE)*Table112[[#This Row],[SIL]]</f>
        <v>0</v>
      </c>
      <c r="AK18">
        <f>VLOOKUP(Table15[[#Headers],[SLV]],Table2[#All],4,FALSE)*Table112[[#This Row],[SLV]]</f>
        <v>0</v>
      </c>
      <c r="AL18">
        <f>VLOOKUP(Table15[[#Headers],[TAN]],Table2[#All],4,FALSE)*Table112[[#This Row],[TAN]]</f>
        <v>0</v>
      </c>
      <c r="AM18">
        <f>VLOOKUP(Table15[[#Headers],[TEL]],Table2[#All],4,FALSE)*Table112[[#This Row],[TEL]]</f>
        <v>0</v>
      </c>
      <c r="AN18">
        <f>VLOOKUP(Table15[[#Headers],[TIN]],Table2[#All],4,FALSE)*Table112[[#This Row],[TIN]]</f>
        <v>0</v>
      </c>
      <c r="AO18">
        <f>VLOOKUP(Table15[[#Headers],[TIT]],Table2[#All],4,FALSE)*Table112[[#This Row],[TIT]]</f>
        <v>0</v>
      </c>
      <c r="AP18">
        <f>VLOOKUP(Table15[[#Headers],[TUN]],Table2[#All],4,FALSE)*Table112[[#This Row],[TUN]]</f>
        <v>0</v>
      </c>
      <c r="AQ18">
        <f>VLOOKUP(Table15[[#Headers],[URA]],Table2[#All],4,FALSE)*Table112[[#This Row],[URA]]</f>
        <v>0</v>
      </c>
      <c r="AR18">
        <f>VLOOKUP(Table15[[#Headers],[VAN]],Table2[#All],4,FALSE)*Table112[[#This Row],[VAN]]</f>
        <v>0</v>
      </c>
      <c r="AS18">
        <f>VLOOKUP(Table15[[#Headers],[ZIN]],Table2[#All],4,FALSE)*Table112[[#This Row],[ZIN]]</f>
        <v>0</v>
      </c>
      <c r="AT18">
        <f>VLOOKUP(Table15[[#Headers],[ZIR]],Table2[#All],4,FALSE)*Table112[[#This Row],[ZIR]]</f>
        <v>0</v>
      </c>
      <c r="AU18">
        <f>VLOOKUP(Table15[[#Headers],[REE]],Table2[#All],4,FALSE)*Table112[[#This Row],[REE]]</f>
        <v>0.30769230769230771</v>
      </c>
      <c r="AV18">
        <f t="shared" si="0"/>
        <v>3.1743589743589746</v>
      </c>
    </row>
    <row r="19" spans="1:48">
      <c r="A19" t="s">
        <v>698</v>
      </c>
      <c r="B19">
        <f>VLOOKUP(Table15[[#Headers],[ALU]],Table2[#All],4,FALSE)*Table112[[#This Row],[ALU]]</f>
        <v>0</v>
      </c>
      <c r="C19">
        <f>VLOOKUP(Table15[[#Headers],[ANT]],Table2[#All],4,FALSE)*Table112[[#This Row],[ANT]]</f>
        <v>0.66666666666666663</v>
      </c>
      <c r="D19">
        <f>VLOOKUP(Table15[[#Headers],[ARS]],Table2[#All],4,FALSE)</f>
        <v>0.8</v>
      </c>
      <c r="E19">
        <f>VLOOKUP(Table15[[#Headers],[BAR]],Table2[#All],4,FALSE)*Table112[[#This Row],[BAR]]</f>
        <v>0</v>
      </c>
      <c r="F19">
        <f>VLOOKUP(Table15[[#Headers],[BER]],Table2[#All],4,FALSE)*Table112[[#This Row],[BER]]</f>
        <v>0</v>
      </c>
      <c r="G19">
        <f>VLOOKUP(Table15[[#Headers],[BIS]],Table2[#All],4,FALSE)*Table112[[#This Row],[BIS]]</f>
        <v>0</v>
      </c>
      <c r="H19">
        <f>VLOOKUP(Table15[[#Headers],[BOR]],Table2[#All],4,FALSE)*Table112[[#This Row],[BOR]]</f>
        <v>0.8</v>
      </c>
      <c r="I19">
        <f>VLOOKUP(Table15[[#Headers],[CES]],Table2[#All],4,FALSE)*Table112[[#This Row],[CES]]</f>
        <v>0</v>
      </c>
      <c r="J19">
        <f>VLOOKUP(Table15[[#Headers],[CHR]],Table2[#All],4,FALSE)*Table112[[#This Row],[CHR]]</f>
        <v>0.8</v>
      </c>
      <c r="K19">
        <f>VLOOKUP(Table15[[#Headers],[COB]],Table2[#All],4,FALSE)*Table112[[#This Row],[COB]]</f>
        <v>0</v>
      </c>
      <c r="L19">
        <f>VLOOKUP(Table15[[#Headers],[COP]],Table2[#All],4,FALSE)*Table112[[#This Row],[COP]]</f>
        <v>0</v>
      </c>
      <c r="M19">
        <f>VLOOKUP(Table15[[#Headers],[FLU]],Table2[#All],4,FALSE)*Table112[[#This Row],[FLU]]</f>
        <v>0</v>
      </c>
      <c r="N19">
        <f>VLOOKUP(Table15[[#Headers],[GAL]],Table2[#All],4,FALSE)*Table112[[#This Row],[GAL]]</f>
        <v>0</v>
      </c>
      <c r="O19">
        <f>VLOOKUP(Table15[[#Headers],[GER]],Table2[#All],4,FALSE)*Table112[[#This Row],[GER]]</f>
        <v>0</v>
      </c>
      <c r="P19">
        <f>VLOOKUP(Table15[[#Headers],[GRA]],Table2[#All],4,FALSE)*Table112[[#This Row],[GRA]]</f>
        <v>0</v>
      </c>
      <c r="Q19">
        <f>VLOOKUP(Table15[[#Headers],[HAF]],Table2[#All],4,FALSE)*Table112[[#This Row],[HAF]]</f>
        <v>0</v>
      </c>
      <c r="R19">
        <f>VLOOKUP(Table15[[#Headers],[IND]],Table2[#All],4,FALSE)*Table112[[#This Row],[IND]]</f>
        <v>0</v>
      </c>
      <c r="S19">
        <f>VLOOKUP(Table15[[#Headers],[IRI]],Table2[#All],4,FALSE)*Table112[[#This Row],[IRI]]</f>
        <v>0</v>
      </c>
      <c r="T19">
        <f>VLOOKUP(Table15[[#Headers],[LED]],Table2[#All],4,FALSE)*Table112[[#This Row],[LED]]</f>
        <v>0</v>
      </c>
      <c r="U19">
        <f>VLOOKUP(Table15[[#Headers],[LIT]],Table2[#All],4,FALSE)*Table112[[#This Row],[LIT]]</f>
        <v>0</v>
      </c>
      <c r="V19">
        <f>VLOOKUP(Table15[[#Headers],[MAG]],Table2[#All],4,FALSE)*Table112[[#This Row],[MAG]]</f>
        <v>0.8</v>
      </c>
      <c r="W19">
        <f>VLOOKUP(Table15[[#Headers],[MAN]],Table2[#All],4,FALSE)*Table112[[#This Row],[MAN]]</f>
        <v>0</v>
      </c>
      <c r="X19">
        <f>VLOOKUP(Table15[[#Headers],[MCO]],Table2[#All],4,FALSE)*Table112[[#This Row],[MCO]]</f>
        <v>0</v>
      </c>
      <c r="Y19">
        <f>VLOOKUP(Table15[[#Headers],[NIC]],Table2[#All],4,FALSE)*Table112[[#This Row],[NIC]]</f>
        <v>0</v>
      </c>
      <c r="Z19">
        <f>VLOOKUP(Table15[[#Headers],[NIO]],Table2[#All],4,FALSE)*Table112[[#This Row],[NIO]]</f>
        <v>0</v>
      </c>
      <c r="AA19">
        <f>VLOOKUP(Table15[[#Headers],[PAL]],Table2[#All],4,FALSE)*Table112[[#This Row],[PAL]]</f>
        <v>0</v>
      </c>
      <c r="AB19">
        <f>VLOOKUP(Table15[[#Headers],[PHO]],Table2[#All],4,FALSE)*Table112[[#This Row],[PHO]]</f>
        <v>0</v>
      </c>
      <c r="AC19">
        <f>VLOOKUP(Table15[[#Headers],[PLA]],Table2[#All],4,FALSE)*Table112[[#This Row],[PLA]]</f>
        <v>0</v>
      </c>
      <c r="AD19">
        <f>VLOOKUP(Table15[[#Headers],[POT]],Table2[#All],4,FALSE)*Table112[[#This Row],[POT]]</f>
        <v>0</v>
      </c>
      <c r="AE19">
        <f>VLOOKUP(Table15[[#Headers],[RHE]],Table2[#All],4,FALSE)*Table112[[#This Row],[RHE]]</f>
        <v>0</v>
      </c>
      <c r="AF19">
        <f>VLOOKUP(Table15[[#Headers],[RHO]],Table2[#All],4,FALSE)*Table112[[#This Row],[RHO]]</f>
        <v>0</v>
      </c>
      <c r="AG19">
        <f>VLOOKUP(Table15[[#Headers],[RUB]],Table2[#All],4,FALSE)*Table112[[#This Row],[RUB]]</f>
        <v>0</v>
      </c>
      <c r="AH19">
        <f>VLOOKUP(Table15[[#Headers],[RUT]],Table2[#All],4,FALSE)*Table112[[#This Row],[RUT]]</f>
        <v>0</v>
      </c>
      <c r="AI19">
        <f>VLOOKUP(Table15[[#Headers],[SCA]],Table2[#All],4,FALSE)*Table112[[#This Row],[SCA]]</f>
        <v>0</v>
      </c>
      <c r="AJ19">
        <f>VLOOKUP(Table15[[#Headers],[SIL]],Table2[#All],4,FALSE)*Table112[[#This Row],[SIL]]</f>
        <v>0</v>
      </c>
      <c r="AK19">
        <f>VLOOKUP(Table15[[#Headers],[SLV]],Table2[#All],4,FALSE)*Table112[[#This Row],[SLV]]</f>
        <v>0</v>
      </c>
      <c r="AL19">
        <f>VLOOKUP(Table15[[#Headers],[TAN]],Table2[#All],4,FALSE)*Table112[[#This Row],[TAN]]</f>
        <v>0</v>
      </c>
      <c r="AM19">
        <f>VLOOKUP(Table15[[#Headers],[TEL]],Table2[#All],4,FALSE)*Table112[[#This Row],[TEL]]</f>
        <v>0</v>
      </c>
      <c r="AN19">
        <f>VLOOKUP(Table15[[#Headers],[TIN]],Table2[#All],4,FALSE)*Table112[[#This Row],[TIN]]</f>
        <v>0</v>
      </c>
      <c r="AO19">
        <f>VLOOKUP(Table15[[#Headers],[TIT]],Table2[#All],4,FALSE)*Table112[[#This Row],[TIT]]</f>
        <v>0</v>
      </c>
      <c r="AP19">
        <f>VLOOKUP(Table15[[#Headers],[TUN]],Table2[#All],4,FALSE)*Table112[[#This Row],[TUN]]</f>
        <v>0</v>
      </c>
      <c r="AQ19">
        <f>VLOOKUP(Table15[[#Headers],[URA]],Table2[#All],4,FALSE)*Table112[[#This Row],[URA]]</f>
        <v>0</v>
      </c>
      <c r="AR19">
        <f>VLOOKUP(Table15[[#Headers],[VAN]],Table2[#All],4,FALSE)*Table112[[#This Row],[VAN]]</f>
        <v>0</v>
      </c>
      <c r="AS19">
        <f>VLOOKUP(Table15[[#Headers],[ZIN]],Table2[#All],4,FALSE)*Table112[[#This Row],[ZIN]]</f>
        <v>0</v>
      </c>
      <c r="AT19">
        <f>VLOOKUP(Table15[[#Headers],[ZIR]],Table2[#All],4,FALSE)*Table112[[#This Row],[ZIR]]</f>
        <v>0</v>
      </c>
      <c r="AU19">
        <f>VLOOKUP(Table15[[#Headers],[REE]],Table2[#All],4,FALSE)*Table112[[#This Row],[REE]]</f>
        <v>0</v>
      </c>
      <c r="AV19">
        <f t="shared" si="0"/>
        <v>3.8666666666666663</v>
      </c>
    </row>
    <row r="20" spans="1:48">
      <c r="A20" t="s">
        <v>637</v>
      </c>
      <c r="B20">
        <f>VLOOKUP(Table15[[#Headers],[ALU]],Table2[#All],4,FALSE)*Table112[[#This Row],[ALU]]</f>
        <v>0.66666666666666663</v>
      </c>
      <c r="C20">
        <f>VLOOKUP(Table15[[#Headers],[ANT]],Table2[#All],4,FALSE)*Table112[[#This Row],[ANT]]</f>
        <v>0</v>
      </c>
      <c r="D20">
        <f>VLOOKUP(Table15[[#Headers],[ARS]],Table2[#All],4,FALSE)</f>
        <v>0.8</v>
      </c>
      <c r="E20">
        <f>VLOOKUP(Table15[[#Headers],[BAR]],Table2[#All],4,FALSE)*Table112[[#This Row],[BAR]]</f>
        <v>0</v>
      </c>
      <c r="F20">
        <f>VLOOKUP(Table15[[#Headers],[BER]],Table2[#All],4,FALSE)*Table112[[#This Row],[BER]]</f>
        <v>0</v>
      </c>
      <c r="G20">
        <f>VLOOKUP(Table15[[#Headers],[BIS]],Table2[#All],4,FALSE)*Table112[[#This Row],[BIS]]</f>
        <v>0.8</v>
      </c>
      <c r="H20">
        <f>VLOOKUP(Table15[[#Headers],[BOR]],Table2[#All],4,FALSE)*Table112[[#This Row],[BOR]]</f>
        <v>0</v>
      </c>
      <c r="I20">
        <f>VLOOKUP(Table15[[#Headers],[CES]],Table2[#All],4,FALSE)*Table112[[#This Row],[CES]]</f>
        <v>0</v>
      </c>
      <c r="J20">
        <f>VLOOKUP(Table15[[#Headers],[CHR]],Table2[#All],4,FALSE)*Table112[[#This Row],[CHR]]</f>
        <v>0</v>
      </c>
      <c r="K20">
        <f>VLOOKUP(Table15[[#Headers],[COB]],Table2[#All],4,FALSE)*Table112[[#This Row],[COB]]</f>
        <v>0</v>
      </c>
      <c r="L20">
        <f>VLOOKUP(Table15[[#Headers],[COP]],Table2[#All],4,FALSE)*Table112[[#This Row],[COP]]</f>
        <v>0</v>
      </c>
      <c r="M20">
        <f>VLOOKUP(Table15[[#Headers],[FLU]],Table2[#All],4,FALSE)*Table112[[#This Row],[FLU]]</f>
        <v>0</v>
      </c>
      <c r="N20">
        <f>VLOOKUP(Table15[[#Headers],[GAL]],Table2[#All],4,FALSE)*Table112[[#This Row],[GAL]]</f>
        <v>0</v>
      </c>
      <c r="O20">
        <f>VLOOKUP(Table15[[#Headers],[GER]],Table2[#All],4,FALSE)*Table112[[#This Row],[GER]]</f>
        <v>0</v>
      </c>
      <c r="P20">
        <f>VLOOKUP(Table15[[#Headers],[GRA]],Table2[#All],4,FALSE)*Table112[[#This Row],[GRA]]</f>
        <v>0</v>
      </c>
      <c r="Q20">
        <f>VLOOKUP(Table15[[#Headers],[HAF]],Table2[#All],4,FALSE)*Table112[[#This Row],[HAF]]</f>
        <v>0</v>
      </c>
      <c r="R20">
        <f>VLOOKUP(Table15[[#Headers],[IND]],Table2[#All],4,FALSE)*Table112[[#This Row],[IND]]</f>
        <v>0</v>
      </c>
      <c r="S20">
        <f>VLOOKUP(Table15[[#Headers],[IRI]],Table2[#All],4,FALSE)*Table112[[#This Row],[IRI]]</f>
        <v>0</v>
      </c>
      <c r="T20">
        <f>VLOOKUP(Table15[[#Headers],[LED]],Table2[#All],4,FALSE)*Table112[[#This Row],[LED]]</f>
        <v>0</v>
      </c>
      <c r="U20">
        <f>VLOOKUP(Table15[[#Headers],[LIT]],Table2[#All],4,FALSE)*Table112[[#This Row],[LIT]]</f>
        <v>0</v>
      </c>
      <c r="V20">
        <f>VLOOKUP(Table15[[#Headers],[MAG]],Table2[#All],4,FALSE)*Table112[[#This Row],[MAG]]</f>
        <v>0</v>
      </c>
      <c r="W20">
        <f>VLOOKUP(Table15[[#Headers],[MAN]],Table2[#All],4,FALSE)*Table112[[#This Row],[MAN]]</f>
        <v>0</v>
      </c>
      <c r="X20">
        <f>VLOOKUP(Table15[[#Headers],[MCO]],Table2[#All],4,FALSE)*Table112[[#This Row],[MCO]]</f>
        <v>0</v>
      </c>
      <c r="Y20">
        <f>VLOOKUP(Table15[[#Headers],[NIC]],Table2[#All],4,FALSE)*Table112[[#This Row],[NIC]]</f>
        <v>0</v>
      </c>
      <c r="Z20">
        <f>VLOOKUP(Table15[[#Headers],[NIO]],Table2[#All],4,FALSE)*Table112[[#This Row],[NIO]]</f>
        <v>0</v>
      </c>
      <c r="AA20">
        <f>VLOOKUP(Table15[[#Headers],[PAL]],Table2[#All],4,FALSE)*Table112[[#This Row],[PAL]]</f>
        <v>0</v>
      </c>
      <c r="AB20">
        <f>VLOOKUP(Table15[[#Headers],[PHO]],Table2[#All],4,FALSE)*Table112[[#This Row],[PHO]]</f>
        <v>0</v>
      </c>
      <c r="AC20">
        <f>VLOOKUP(Table15[[#Headers],[PLA]],Table2[#All],4,FALSE)*Table112[[#This Row],[PLA]]</f>
        <v>0</v>
      </c>
      <c r="AD20">
        <f>VLOOKUP(Table15[[#Headers],[POT]],Table2[#All],4,FALSE)*Table112[[#This Row],[POT]]</f>
        <v>0</v>
      </c>
      <c r="AE20">
        <f>VLOOKUP(Table15[[#Headers],[RHE]],Table2[#All],4,FALSE)*Table112[[#This Row],[RHE]]</f>
        <v>0</v>
      </c>
      <c r="AF20">
        <f>VLOOKUP(Table15[[#Headers],[RHO]],Table2[#All],4,FALSE)*Table112[[#This Row],[RHO]]</f>
        <v>0</v>
      </c>
      <c r="AG20">
        <f>VLOOKUP(Table15[[#Headers],[RUB]],Table2[#All],4,FALSE)*Table112[[#This Row],[RUB]]</f>
        <v>0</v>
      </c>
      <c r="AH20">
        <f>VLOOKUP(Table15[[#Headers],[RUT]],Table2[#All],4,FALSE)*Table112[[#This Row],[RUT]]</f>
        <v>0</v>
      </c>
      <c r="AI20">
        <f>VLOOKUP(Table15[[#Headers],[SCA]],Table2[#All],4,FALSE)*Table112[[#This Row],[SCA]]</f>
        <v>0</v>
      </c>
      <c r="AJ20">
        <f>VLOOKUP(Table15[[#Headers],[SIL]],Table2[#All],4,FALSE)*Table112[[#This Row],[SIL]]</f>
        <v>0</v>
      </c>
      <c r="AK20">
        <f>VLOOKUP(Table15[[#Headers],[SLV]],Table2[#All],4,FALSE)*Table112[[#This Row],[SLV]]</f>
        <v>0</v>
      </c>
      <c r="AL20">
        <f>VLOOKUP(Table15[[#Headers],[TAN]],Table2[#All],4,FALSE)*Table112[[#This Row],[TAN]]</f>
        <v>0</v>
      </c>
      <c r="AM20">
        <f>VLOOKUP(Table15[[#Headers],[TEL]],Table2[#All],4,FALSE)*Table112[[#This Row],[TEL]]</f>
        <v>0</v>
      </c>
      <c r="AN20">
        <f>VLOOKUP(Table15[[#Headers],[TIN]],Table2[#All],4,FALSE)*Table112[[#This Row],[TIN]]</f>
        <v>0</v>
      </c>
      <c r="AO20">
        <f>VLOOKUP(Table15[[#Headers],[TIT]],Table2[#All],4,FALSE)*Table112[[#This Row],[TIT]]</f>
        <v>0</v>
      </c>
      <c r="AP20">
        <f>VLOOKUP(Table15[[#Headers],[TUN]],Table2[#All],4,FALSE)*Table112[[#This Row],[TUN]]</f>
        <v>0.8</v>
      </c>
      <c r="AQ20">
        <f>VLOOKUP(Table15[[#Headers],[URA]],Table2[#All],4,FALSE)*Table112[[#This Row],[URA]]</f>
        <v>0</v>
      </c>
      <c r="AR20">
        <f>VLOOKUP(Table15[[#Headers],[VAN]],Table2[#All],4,FALSE)*Table112[[#This Row],[VAN]]</f>
        <v>0</v>
      </c>
      <c r="AS20">
        <f>VLOOKUP(Table15[[#Headers],[ZIN]],Table2[#All],4,FALSE)*Table112[[#This Row],[ZIN]]</f>
        <v>0</v>
      </c>
      <c r="AT20">
        <f>VLOOKUP(Table15[[#Headers],[ZIR]],Table2[#All],4,FALSE)*Table112[[#This Row],[ZIR]]</f>
        <v>0</v>
      </c>
      <c r="AU20">
        <f>VLOOKUP(Table15[[#Headers],[REE]],Table2[#All],4,FALSE)*Table112[[#This Row],[REE]]</f>
        <v>0.30769230769230771</v>
      </c>
      <c r="AV20">
        <f t="shared" si="0"/>
        <v>3.3743589743589739</v>
      </c>
    </row>
    <row r="21" spans="1:48">
      <c r="A21" t="s">
        <v>631</v>
      </c>
      <c r="B21">
        <f>VLOOKUP(Table15[[#Headers],[ALU]],Table2[#All],4,FALSE)*Table112[[#This Row],[ALU]]</f>
        <v>0</v>
      </c>
      <c r="C21">
        <f>VLOOKUP(Table15[[#Headers],[ANT]],Table2[#All],4,FALSE)*Table112[[#This Row],[ANT]]</f>
        <v>0</v>
      </c>
      <c r="D21">
        <f>VLOOKUP(Table15[[#Headers],[ARS]],Table2[#All],4,FALSE)</f>
        <v>0.8</v>
      </c>
      <c r="E21">
        <f>VLOOKUP(Table15[[#Headers],[BAR]],Table2[#All],4,FALSE)*Table112[[#This Row],[BAR]]</f>
        <v>0</v>
      </c>
      <c r="F21">
        <f>VLOOKUP(Table15[[#Headers],[BER]],Table2[#All],4,FALSE)*Table112[[#This Row],[BER]]</f>
        <v>0</v>
      </c>
      <c r="G21">
        <f>VLOOKUP(Table15[[#Headers],[BIS]],Table2[#All],4,FALSE)*Table112[[#This Row],[BIS]]</f>
        <v>0</v>
      </c>
      <c r="H21">
        <f>VLOOKUP(Table15[[#Headers],[BOR]],Table2[#All],4,FALSE)*Table112[[#This Row],[BOR]]</f>
        <v>0</v>
      </c>
      <c r="I21">
        <f>VLOOKUP(Table15[[#Headers],[CES]],Table2[#All],4,FALSE)*Table112[[#This Row],[CES]]</f>
        <v>0</v>
      </c>
      <c r="J21">
        <f>VLOOKUP(Table15[[#Headers],[CHR]],Table2[#All],4,FALSE)*Table112[[#This Row],[CHR]]</f>
        <v>0</v>
      </c>
      <c r="K21">
        <f>VLOOKUP(Table15[[#Headers],[COB]],Table2[#All],4,FALSE)*Table112[[#This Row],[COB]]</f>
        <v>0.8</v>
      </c>
      <c r="L21">
        <f>VLOOKUP(Table15[[#Headers],[COP]],Table2[#All],4,FALSE)*Table112[[#This Row],[COP]]</f>
        <v>0</v>
      </c>
      <c r="M21">
        <f>VLOOKUP(Table15[[#Headers],[FLU]],Table2[#All],4,FALSE)*Table112[[#This Row],[FLU]]</f>
        <v>0</v>
      </c>
      <c r="N21">
        <f>VLOOKUP(Table15[[#Headers],[GAL]],Table2[#All],4,FALSE)*Table112[[#This Row],[GAL]]</f>
        <v>0</v>
      </c>
      <c r="O21">
        <f>VLOOKUP(Table15[[#Headers],[GER]],Table2[#All],4,FALSE)*Table112[[#This Row],[GER]]</f>
        <v>0</v>
      </c>
      <c r="P21">
        <f>VLOOKUP(Table15[[#Headers],[GRA]],Table2[#All],4,FALSE)*Table112[[#This Row],[GRA]]</f>
        <v>0</v>
      </c>
      <c r="Q21">
        <f>VLOOKUP(Table15[[#Headers],[HAF]],Table2[#All],4,FALSE)*Table112[[#This Row],[HAF]]</f>
        <v>0</v>
      </c>
      <c r="R21">
        <f>VLOOKUP(Table15[[#Headers],[IND]],Table2[#All],4,FALSE)*Table112[[#This Row],[IND]]</f>
        <v>0</v>
      </c>
      <c r="S21">
        <f>VLOOKUP(Table15[[#Headers],[IRI]],Table2[#All],4,FALSE)*Table112[[#This Row],[IRI]]</f>
        <v>0</v>
      </c>
      <c r="T21">
        <f>VLOOKUP(Table15[[#Headers],[LED]],Table2[#All],4,FALSE)*Table112[[#This Row],[LED]]</f>
        <v>0</v>
      </c>
      <c r="U21">
        <f>VLOOKUP(Table15[[#Headers],[LIT]],Table2[#All],4,FALSE)*Table112[[#This Row],[LIT]]</f>
        <v>0</v>
      </c>
      <c r="V21">
        <f>VLOOKUP(Table15[[#Headers],[MAG]],Table2[#All],4,FALSE)*Table112[[#This Row],[MAG]]</f>
        <v>0</v>
      </c>
      <c r="W21">
        <f>VLOOKUP(Table15[[#Headers],[MAN]],Table2[#All],4,FALSE)*Table112[[#This Row],[MAN]]</f>
        <v>0</v>
      </c>
      <c r="X21">
        <f>VLOOKUP(Table15[[#Headers],[MCO]],Table2[#All],4,FALSE)*Table112[[#This Row],[MCO]]</f>
        <v>0</v>
      </c>
      <c r="Y21">
        <f>VLOOKUP(Table15[[#Headers],[NIC]],Table2[#All],4,FALSE)*Table112[[#This Row],[NIC]]</f>
        <v>0.66666666666666663</v>
      </c>
      <c r="Z21">
        <f>VLOOKUP(Table15[[#Headers],[NIO]],Table2[#All],4,FALSE)*Table112[[#This Row],[NIO]]</f>
        <v>0</v>
      </c>
      <c r="AA21">
        <f>VLOOKUP(Table15[[#Headers],[PAL]],Table2[#All],4,FALSE)*Table112[[#This Row],[PAL]]</f>
        <v>0</v>
      </c>
      <c r="AB21">
        <f>VLOOKUP(Table15[[#Headers],[PHO]],Table2[#All],4,FALSE)*Table112[[#This Row],[PHO]]</f>
        <v>0</v>
      </c>
      <c r="AC21">
        <f>VLOOKUP(Table15[[#Headers],[PLA]],Table2[#All],4,FALSE)*Table112[[#This Row],[PLA]]</f>
        <v>0</v>
      </c>
      <c r="AD21">
        <f>VLOOKUP(Table15[[#Headers],[POT]],Table2[#All],4,FALSE)*Table112[[#This Row],[POT]]</f>
        <v>0</v>
      </c>
      <c r="AE21">
        <f>VLOOKUP(Table15[[#Headers],[RHE]],Table2[#All],4,FALSE)*Table112[[#This Row],[RHE]]</f>
        <v>0</v>
      </c>
      <c r="AF21">
        <f>VLOOKUP(Table15[[#Headers],[RHO]],Table2[#All],4,FALSE)*Table112[[#This Row],[RHO]]</f>
        <v>0</v>
      </c>
      <c r="AG21">
        <f>VLOOKUP(Table15[[#Headers],[RUB]],Table2[#All],4,FALSE)*Table112[[#This Row],[RUB]]</f>
        <v>0</v>
      </c>
      <c r="AH21">
        <f>VLOOKUP(Table15[[#Headers],[RUT]],Table2[#All],4,FALSE)*Table112[[#This Row],[RUT]]</f>
        <v>0</v>
      </c>
      <c r="AI21">
        <f>VLOOKUP(Table15[[#Headers],[SCA]],Table2[#All],4,FALSE)*Table112[[#This Row],[SCA]]</f>
        <v>0</v>
      </c>
      <c r="AJ21">
        <f>VLOOKUP(Table15[[#Headers],[SIL]],Table2[#All],4,FALSE)*Table112[[#This Row],[SIL]]</f>
        <v>0</v>
      </c>
      <c r="AK21">
        <f>VLOOKUP(Table15[[#Headers],[SLV]],Table2[#All],4,FALSE)*Table112[[#This Row],[SLV]]</f>
        <v>0</v>
      </c>
      <c r="AL21">
        <f>VLOOKUP(Table15[[#Headers],[TAN]],Table2[#All],4,FALSE)*Table112[[#This Row],[TAN]]</f>
        <v>0</v>
      </c>
      <c r="AM21">
        <f>VLOOKUP(Table15[[#Headers],[TEL]],Table2[#All],4,FALSE)*Table112[[#This Row],[TEL]]</f>
        <v>0</v>
      </c>
      <c r="AN21">
        <f>VLOOKUP(Table15[[#Headers],[TIN]],Table2[#All],4,FALSE)*Table112[[#This Row],[TIN]]</f>
        <v>0.66666666666666663</v>
      </c>
      <c r="AO21">
        <f>VLOOKUP(Table15[[#Headers],[TIT]],Table2[#All],4,FALSE)*Table112[[#This Row],[TIT]]</f>
        <v>0</v>
      </c>
      <c r="AP21">
        <f>VLOOKUP(Table15[[#Headers],[TUN]],Table2[#All],4,FALSE)*Table112[[#This Row],[TUN]]</f>
        <v>0</v>
      </c>
      <c r="AQ21">
        <f>VLOOKUP(Table15[[#Headers],[URA]],Table2[#All],4,FALSE)*Table112[[#This Row],[URA]]</f>
        <v>0</v>
      </c>
      <c r="AR21">
        <f>VLOOKUP(Table15[[#Headers],[VAN]],Table2[#All],4,FALSE)*Table112[[#This Row],[VAN]]</f>
        <v>0</v>
      </c>
      <c r="AS21">
        <f>VLOOKUP(Table15[[#Headers],[ZIN]],Table2[#All],4,FALSE)*Table112[[#This Row],[ZIN]]</f>
        <v>0</v>
      </c>
      <c r="AT21">
        <f>VLOOKUP(Table15[[#Headers],[ZIR]],Table2[#All],4,FALSE)*Table112[[#This Row],[ZIR]]</f>
        <v>0</v>
      </c>
      <c r="AU21">
        <f>VLOOKUP(Table15[[#Headers],[REE]],Table2[#All],4,FALSE)*Table112[[#This Row],[REE]]</f>
        <v>0</v>
      </c>
      <c r="AV21">
        <f t="shared" si="0"/>
        <v>2.9333333333333331</v>
      </c>
    </row>
    <row r="22" spans="1:48">
      <c r="A22" t="s">
        <v>690</v>
      </c>
      <c r="B22">
        <f>VLOOKUP(Table15[[#Headers],[ALU]],Table2[#All],4,FALSE)*Table112[[#This Row],[ALU]]</f>
        <v>0</v>
      </c>
      <c r="C22">
        <f>VLOOKUP(Table15[[#Headers],[ANT]],Table2[#All],4,FALSE)*Table112[[#This Row],[ANT]]</f>
        <v>0</v>
      </c>
      <c r="D22">
        <f>VLOOKUP(Table15[[#Headers],[ARS]],Table2[#All],4,FALSE)</f>
        <v>0.8</v>
      </c>
      <c r="E22">
        <f>VLOOKUP(Table15[[#Headers],[BAR]],Table2[#All],4,FALSE)*Table112[[#This Row],[BAR]]</f>
        <v>0.8</v>
      </c>
      <c r="F22">
        <f>VLOOKUP(Table15[[#Headers],[BER]],Table2[#All],4,FALSE)*Table112[[#This Row],[BER]]</f>
        <v>0</v>
      </c>
      <c r="G22">
        <f>VLOOKUP(Table15[[#Headers],[BIS]],Table2[#All],4,FALSE)*Table112[[#This Row],[BIS]]</f>
        <v>0</v>
      </c>
      <c r="H22">
        <f>VLOOKUP(Table15[[#Headers],[BOR]],Table2[#All],4,FALSE)*Table112[[#This Row],[BOR]]</f>
        <v>0</v>
      </c>
      <c r="I22">
        <f>VLOOKUP(Table15[[#Headers],[CES]],Table2[#All],4,FALSE)*Table112[[#This Row],[CES]]</f>
        <v>0</v>
      </c>
      <c r="J22">
        <f>VLOOKUP(Table15[[#Headers],[CHR]],Table2[#All],4,FALSE)*Table112[[#This Row],[CHR]]</f>
        <v>0</v>
      </c>
      <c r="K22">
        <f>VLOOKUP(Table15[[#Headers],[COB]],Table2[#All],4,FALSE)*Table112[[#This Row],[COB]]</f>
        <v>0</v>
      </c>
      <c r="L22">
        <f>VLOOKUP(Table15[[#Headers],[COP]],Table2[#All],4,FALSE)*Table112[[#This Row],[COP]]</f>
        <v>0</v>
      </c>
      <c r="M22">
        <f>VLOOKUP(Table15[[#Headers],[FLU]],Table2[#All],4,FALSE)*Table112[[#This Row],[FLU]]</f>
        <v>0</v>
      </c>
      <c r="N22">
        <f>VLOOKUP(Table15[[#Headers],[GAL]],Table2[#All],4,FALSE)*Table112[[#This Row],[GAL]]</f>
        <v>0</v>
      </c>
      <c r="O22">
        <f>VLOOKUP(Table15[[#Headers],[GER]],Table2[#All],4,FALSE)*Table112[[#This Row],[GER]]</f>
        <v>0</v>
      </c>
      <c r="P22">
        <f>VLOOKUP(Table15[[#Headers],[GRA]],Table2[#All],4,FALSE)*Table112[[#This Row],[GRA]]</f>
        <v>0</v>
      </c>
      <c r="Q22">
        <f>VLOOKUP(Table15[[#Headers],[HAF]],Table2[#All],4,FALSE)*Table112[[#This Row],[HAF]]</f>
        <v>0</v>
      </c>
      <c r="R22">
        <f>VLOOKUP(Table15[[#Headers],[IND]],Table2[#All],4,FALSE)*Table112[[#This Row],[IND]]</f>
        <v>0</v>
      </c>
      <c r="S22">
        <f>VLOOKUP(Table15[[#Headers],[IRI]],Table2[#All],4,FALSE)*Table112[[#This Row],[IRI]]</f>
        <v>0</v>
      </c>
      <c r="T22">
        <f>VLOOKUP(Table15[[#Headers],[LED]],Table2[#All],4,FALSE)*Table112[[#This Row],[LED]]</f>
        <v>0</v>
      </c>
      <c r="U22">
        <f>VLOOKUP(Table15[[#Headers],[LIT]],Table2[#All],4,FALSE)*Table112[[#This Row],[LIT]]</f>
        <v>0</v>
      </c>
      <c r="V22">
        <f>VLOOKUP(Table15[[#Headers],[MAG]],Table2[#All],4,FALSE)*Table112[[#This Row],[MAG]]</f>
        <v>0</v>
      </c>
      <c r="W22">
        <f>VLOOKUP(Table15[[#Headers],[MAN]],Table2[#All],4,FALSE)*Table112[[#This Row],[MAN]]</f>
        <v>0</v>
      </c>
      <c r="X22">
        <f>VLOOKUP(Table15[[#Headers],[MCO]],Table2[#All],4,FALSE)*Table112[[#This Row],[MCO]]</f>
        <v>0</v>
      </c>
      <c r="Y22">
        <f>VLOOKUP(Table15[[#Headers],[NIC]],Table2[#All],4,FALSE)*Table112[[#This Row],[NIC]]</f>
        <v>0</v>
      </c>
      <c r="Z22">
        <f>VLOOKUP(Table15[[#Headers],[NIO]],Table2[#All],4,FALSE)*Table112[[#This Row],[NIO]]</f>
        <v>0</v>
      </c>
      <c r="AA22">
        <f>VLOOKUP(Table15[[#Headers],[PAL]],Table2[#All],4,FALSE)*Table112[[#This Row],[PAL]]</f>
        <v>0</v>
      </c>
      <c r="AB22">
        <f>VLOOKUP(Table15[[#Headers],[PHO]],Table2[#All],4,FALSE)*Table112[[#This Row],[PHO]]</f>
        <v>0.8</v>
      </c>
      <c r="AC22">
        <f>VLOOKUP(Table15[[#Headers],[PLA]],Table2[#All],4,FALSE)*Table112[[#This Row],[PLA]]</f>
        <v>0</v>
      </c>
      <c r="AD22">
        <f>VLOOKUP(Table15[[#Headers],[POT]],Table2[#All],4,FALSE)*Table112[[#This Row],[POT]]</f>
        <v>0</v>
      </c>
      <c r="AE22">
        <f>VLOOKUP(Table15[[#Headers],[RHE]],Table2[#All],4,FALSE)*Table112[[#This Row],[RHE]]</f>
        <v>0</v>
      </c>
      <c r="AF22">
        <f>VLOOKUP(Table15[[#Headers],[RHO]],Table2[#All],4,FALSE)*Table112[[#This Row],[RHO]]</f>
        <v>0</v>
      </c>
      <c r="AG22">
        <f>VLOOKUP(Table15[[#Headers],[RUB]],Table2[#All],4,FALSE)*Table112[[#This Row],[RUB]]</f>
        <v>0</v>
      </c>
      <c r="AH22">
        <f>VLOOKUP(Table15[[#Headers],[RUT]],Table2[#All],4,FALSE)*Table112[[#This Row],[RUT]]</f>
        <v>0</v>
      </c>
      <c r="AI22">
        <f>VLOOKUP(Table15[[#Headers],[SCA]],Table2[#All],4,FALSE)*Table112[[#This Row],[SCA]]</f>
        <v>0</v>
      </c>
      <c r="AJ22">
        <f>VLOOKUP(Table15[[#Headers],[SIL]],Table2[#All],4,FALSE)*Table112[[#This Row],[SIL]]</f>
        <v>0</v>
      </c>
      <c r="AK22">
        <f>VLOOKUP(Table15[[#Headers],[SLV]],Table2[#All],4,FALSE)*Table112[[#This Row],[SLV]]</f>
        <v>0</v>
      </c>
      <c r="AL22">
        <f>VLOOKUP(Table15[[#Headers],[TAN]],Table2[#All],4,FALSE)*Table112[[#This Row],[TAN]]</f>
        <v>0</v>
      </c>
      <c r="AM22">
        <f>VLOOKUP(Table15[[#Headers],[TEL]],Table2[#All],4,FALSE)*Table112[[#This Row],[TEL]]</f>
        <v>0</v>
      </c>
      <c r="AN22">
        <f>VLOOKUP(Table15[[#Headers],[TIN]],Table2[#All],4,FALSE)*Table112[[#This Row],[TIN]]</f>
        <v>0</v>
      </c>
      <c r="AO22">
        <f>VLOOKUP(Table15[[#Headers],[TIT]],Table2[#All],4,FALSE)*Table112[[#This Row],[TIT]]</f>
        <v>0</v>
      </c>
      <c r="AP22">
        <f>VLOOKUP(Table15[[#Headers],[TUN]],Table2[#All],4,FALSE)*Table112[[#This Row],[TUN]]</f>
        <v>0</v>
      </c>
      <c r="AQ22">
        <f>VLOOKUP(Table15[[#Headers],[URA]],Table2[#All],4,FALSE)*Table112[[#This Row],[URA]]</f>
        <v>0</v>
      </c>
      <c r="AR22">
        <f>VLOOKUP(Table15[[#Headers],[VAN]],Table2[#All],4,FALSE)*Table112[[#This Row],[VAN]]</f>
        <v>0</v>
      </c>
      <c r="AS22">
        <f>VLOOKUP(Table15[[#Headers],[ZIN]],Table2[#All],4,FALSE)*Table112[[#This Row],[ZIN]]</f>
        <v>0</v>
      </c>
      <c r="AT22">
        <f>VLOOKUP(Table15[[#Headers],[ZIR]],Table2[#All],4,FALSE)*Table112[[#This Row],[ZIR]]</f>
        <v>0</v>
      </c>
      <c r="AU22">
        <f>VLOOKUP(Table15[[#Headers],[REE]],Table2[#All],4,FALSE)*Table112[[#This Row],[REE]]</f>
        <v>0</v>
      </c>
      <c r="AV22">
        <f t="shared" si="0"/>
        <v>2.4000000000000004</v>
      </c>
    </row>
    <row r="23" spans="1:48">
      <c r="A23" t="s">
        <v>613</v>
      </c>
      <c r="B23">
        <f>VLOOKUP(Table15[[#Headers],[ALU]],Table2[#All],4,FALSE)*Table112[[#This Row],[ALU]]</f>
        <v>0</v>
      </c>
      <c r="C23">
        <f>VLOOKUP(Table15[[#Headers],[ANT]],Table2[#All],4,FALSE)*Table112[[#This Row],[ANT]]</f>
        <v>0</v>
      </c>
      <c r="D23">
        <f>VLOOKUP(Table15[[#Headers],[ARS]],Table2[#All],4,FALSE)</f>
        <v>0.8</v>
      </c>
      <c r="E23">
        <f>VLOOKUP(Table15[[#Headers],[BAR]],Table2[#All],4,FALSE)*Table112[[#This Row],[BAR]]</f>
        <v>0</v>
      </c>
      <c r="F23">
        <f>VLOOKUP(Table15[[#Headers],[BER]],Table2[#All],4,FALSE)*Table112[[#This Row],[BER]]</f>
        <v>0</v>
      </c>
      <c r="G23">
        <f>VLOOKUP(Table15[[#Headers],[BIS]],Table2[#All],4,FALSE)*Table112[[#This Row],[BIS]]</f>
        <v>0</v>
      </c>
      <c r="H23">
        <f>VLOOKUP(Table15[[#Headers],[BOR]],Table2[#All],4,FALSE)*Table112[[#This Row],[BOR]]</f>
        <v>0</v>
      </c>
      <c r="I23">
        <f>VLOOKUP(Table15[[#Headers],[CES]],Table2[#All],4,FALSE)*Table112[[#This Row],[CES]]</f>
        <v>1</v>
      </c>
      <c r="J23">
        <f>VLOOKUP(Table15[[#Headers],[CHR]],Table2[#All],4,FALSE)*Table112[[#This Row],[CHR]]</f>
        <v>0</v>
      </c>
      <c r="K23">
        <f>VLOOKUP(Table15[[#Headers],[COB]],Table2[#All],4,FALSE)*Table112[[#This Row],[COB]]</f>
        <v>0</v>
      </c>
      <c r="L23">
        <f>VLOOKUP(Table15[[#Headers],[COP]],Table2[#All],4,FALSE)*Table112[[#This Row],[COP]]</f>
        <v>0</v>
      </c>
      <c r="M23">
        <f>VLOOKUP(Table15[[#Headers],[FLU]],Table2[#All],4,FALSE)*Table112[[#This Row],[FLU]]</f>
        <v>0</v>
      </c>
      <c r="N23">
        <f>VLOOKUP(Table15[[#Headers],[GAL]],Table2[#All],4,FALSE)*Table112[[#This Row],[GAL]]</f>
        <v>0</v>
      </c>
      <c r="O23">
        <f>VLOOKUP(Table15[[#Headers],[GER]],Table2[#All],4,FALSE)*Table112[[#This Row],[GER]]</f>
        <v>0</v>
      </c>
      <c r="P23">
        <f>VLOOKUP(Table15[[#Headers],[GRA]],Table2[#All],4,FALSE)*Table112[[#This Row],[GRA]]</f>
        <v>0</v>
      </c>
      <c r="Q23">
        <f>VLOOKUP(Table15[[#Headers],[HAF]],Table2[#All],4,FALSE)*Table112[[#This Row],[HAF]]</f>
        <v>0</v>
      </c>
      <c r="R23">
        <f>VLOOKUP(Table15[[#Headers],[IND]],Table2[#All],4,FALSE)*Table112[[#This Row],[IND]]</f>
        <v>0</v>
      </c>
      <c r="S23">
        <f>VLOOKUP(Table15[[#Headers],[IRI]],Table2[#All],4,FALSE)*Table112[[#This Row],[IRI]]</f>
        <v>0</v>
      </c>
      <c r="T23">
        <f>VLOOKUP(Table15[[#Headers],[LED]],Table2[#All],4,FALSE)*Table112[[#This Row],[LED]]</f>
        <v>0</v>
      </c>
      <c r="U23">
        <f>VLOOKUP(Table15[[#Headers],[LIT]],Table2[#All],4,FALSE)*Table112[[#This Row],[LIT]]</f>
        <v>0</v>
      </c>
      <c r="V23">
        <f>VLOOKUP(Table15[[#Headers],[MAG]],Table2[#All],4,FALSE)*Table112[[#This Row],[MAG]]</f>
        <v>0</v>
      </c>
      <c r="W23">
        <f>VLOOKUP(Table15[[#Headers],[MAN]],Table2[#All],4,FALSE)*Table112[[#This Row],[MAN]]</f>
        <v>0</v>
      </c>
      <c r="X23">
        <f>VLOOKUP(Table15[[#Headers],[MCO]],Table2[#All],4,FALSE)*Table112[[#This Row],[MCO]]</f>
        <v>0</v>
      </c>
      <c r="Y23">
        <f>VLOOKUP(Table15[[#Headers],[NIC]],Table2[#All],4,FALSE)*Table112[[#This Row],[NIC]]</f>
        <v>0</v>
      </c>
      <c r="Z23">
        <f>VLOOKUP(Table15[[#Headers],[NIO]],Table2[#All],4,FALSE)*Table112[[#This Row],[NIO]]</f>
        <v>0</v>
      </c>
      <c r="AA23">
        <f>VLOOKUP(Table15[[#Headers],[PAL]],Table2[#All],4,FALSE)*Table112[[#This Row],[PAL]]</f>
        <v>0</v>
      </c>
      <c r="AB23">
        <f>VLOOKUP(Table15[[#Headers],[PHO]],Table2[#All],4,FALSE)*Table112[[#This Row],[PHO]]</f>
        <v>0</v>
      </c>
      <c r="AC23">
        <f>VLOOKUP(Table15[[#Headers],[PLA]],Table2[#All],4,FALSE)*Table112[[#This Row],[PLA]]</f>
        <v>0</v>
      </c>
      <c r="AD23">
        <f>VLOOKUP(Table15[[#Headers],[POT]],Table2[#All],4,FALSE)*Table112[[#This Row],[POT]]</f>
        <v>0</v>
      </c>
      <c r="AE23">
        <f>VLOOKUP(Table15[[#Headers],[RHE]],Table2[#All],4,FALSE)*Table112[[#This Row],[RHE]]</f>
        <v>0</v>
      </c>
      <c r="AF23">
        <f>VLOOKUP(Table15[[#Headers],[RHO]],Table2[#All],4,FALSE)*Table112[[#This Row],[RHO]]</f>
        <v>0</v>
      </c>
      <c r="AG23">
        <f>VLOOKUP(Table15[[#Headers],[RUB]],Table2[#All],4,FALSE)*Table112[[#This Row],[RUB]]</f>
        <v>1</v>
      </c>
      <c r="AH23">
        <f>VLOOKUP(Table15[[#Headers],[RUT]],Table2[#All],4,FALSE)*Table112[[#This Row],[RUT]]</f>
        <v>0</v>
      </c>
      <c r="AI23">
        <f>VLOOKUP(Table15[[#Headers],[SCA]],Table2[#All],4,FALSE)*Table112[[#This Row],[SCA]]</f>
        <v>0</v>
      </c>
      <c r="AJ23">
        <f>VLOOKUP(Table15[[#Headers],[SIL]],Table2[#All],4,FALSE)*Table112[[#This Row],[SIL]]</f>
        <v>0</v>
      </c>
      <c r="AK23">
        <f>VLOOKUP(Table15[[#Headers],[SLV]],Table2[#All],4,FALSE)*Table112[[#This Row],[SLV]]</f>
        <v>0</v>
      </c>
      <c r="AL23">
        <f>VLOOKUP(Table15[[#Headers],[TAN]],Table2[#All],4,FALSE)*Table112[[#This Row],[TAN]]</f>
        <v>0</v>
      </c>
      <c r="AM23">
        <f>VLOOKUP(Table15[[#Headers],[TEL]],Table2[#All],4,FALSE)*Table112[[#This Row],[TEL]]</f>
        <v>0</v>
      </c>
      <c r="AN23">
        <f>VLOOKUP(Table15[[#Headers],[TIN]],Table2[#All],4,FALSE)*Table112[[#This Row],[TIN]]</f>
        <v>0</v>
      </c>
      <c r="AO23">
        <f>VLOOKUP(Table15[[#Headers],[TIT]],Table2[#All],4,FALSE)*Table112[[#This Row],[TIT]]</f>
        <v>0</v>
      </c>
      <c r="AP23">
        <f>VLOOKUP(Table15[[#Headers],[TUN]],Table2[#All],4,FALSE)*Table112[[#This Row],[TUN]]</f>
        <v>0</v>
      </c>
      <c r="AQ23">
        <f>VLOOKUP(Table15[[#Headers],[URA]],Table2[#All],4,FALSE)*Table112[[#This Row],[URA]]</f>
        <v>0.5</v>
      </c>
      <c r="AR23">
        <f>VLOOKUP(Table15[[#Headers],[VAN]],Table2[#All],4,FALSE)*Table112[[#This Row],[VAN]]</f>
        <v>0</v>
      </c>
      <c r="AS23">
        <f>VLOOKUP(Table15[[#Headers],[ZIN]],Table2[#All],4,FALSE)*Table112[[#This Row],[ZIN]]</f>
        <v>0</v>
      </c>
      <c r="AT23">
        <f>VLOOKUP(Table15[[#Headers],[ZIR]],Table2[#All],4,FALSE)*Table112[[#This Row],[ZIR]]</f>
        <v>0</v>
      </c>
      <c r="AU23">
        <f>VLOOKUP(Table15[[#Headers],[REE]],Table2[#All],4,FALSE)*Table112[[#This Row],[REE]]</f>
        <v>0</v>
      </c>
      <c r="AV23">
        <f t="shared" si="0"/>
        <v>3.3</v>
      </c>
    </row>
    <row r="24" spans="1:48">
      <c r="A24" t="s">
        <v>640</v>
      </c>
      <c r="B24">
        <f>VLOOKUP(Table15[[#Headers],[ALU]],Table2[#All],4,FALSE)*Table112[[#This Row],[ALU]]</f>
        <v>0</v>
      </c>
      <c r="C24">
        <f>VLOOKUP(Table15[[#Headers],[ANT]],Table2[#All],4,FALSE)*Table112[[#This Row],[ANT]]</f>
        <v>0</v>
      </c>
      <c r="D24">
        <f>VLOOKUP(Table15[[#Headers],[ARS]],Table2[#All],4,FALSE)</f>
        <v>0.8</v>
      </c>
      <c r="E24">
        <f>VLOOKUP(Table15[[#Headers],[BAR]],Table2[#All],4,FALSE)*Table112[[#This Row],[BAR]]</f>
        <v>0</v>
      </c>
      <c r="F24">
        <f>VLOOKUP(Table15[[#Headers],[BER]],Table2[#All],4,FALSE)*Table112[[#This Row],[BER]]</f>
        <v>0</v>
      </c>
      <c r="G24">
        <f>VLOOKUP(Table15[[#Headers],[BIS]],Table2[#All],4,FALSE)*Table112[[#This Row],[BIS]]</f>
        <v>0</v>
      </c>
      <c r="H24">
        <f>VLOOKUP(Table15[[#Headers],[BOR]],Table2[#All],4,FALSE)*Table112[[#This Row],[BOR]]</f>
        <v>0.8</v>
      </c>
      <c r="I24">
        <f>VLOOKUP(Table15[[#Headers],[CES]],Table2[#All],4,FALSE)*Table112[[#This Row],[CES]]</f>
        <v>0</v>
      </c>
      <c r="J24">
        <f>VLOOKUP(Table15[[#Headers],[CHR]],Table2[#All],4,FALSE)*Table112[[#This Row],[CHR]]</f>
        <v>0</v>
      </c>
      <c r="K24">
        <f>VLOOKUP(Table15[[#Headers],[COB]],Table2[#All],4,FALSE)*Table112[[#This Row],[COB]]</f>
        <v>0</v>
      </c>
      <c r="L24">
        <f>VLOOKUP(Table15[[#Headers],[COP]],Table2[#All],4,FALSE)*Table112[[#This Row],[COP]]</f>
        <v>0</v>
      </c>
      <c r="M24">
        <f>VLOOKUP(Table15[[#Headers],[FLU]],Table2[#All],4,FALSE)*Table112[[#This Row],[FLU]]</f>
        <v>0</v>
      </c>
      <c r="N24">
        <f>VLOOKUP(Table15[[#Headers],[GAL]],Table2[#All],4,FALSE)*Table112[[#This Row],[GAL]]</f>
        <v>0</v>
      </c>
      <c r="O24">
        <f>VLOOKUP(Table15[[#Headers],[GER]],Table2[#All],4,FALSE)*Table112[[#This Row],[GER]]</f>
        <v>0</v>
      </c>
      <c r="P24">
        <f>VLOOKUP(Table15[[#Headers],[GRA]],Table2[#All],4,FALSE)*Table112[[#This Row],[GRA]]</f>
        <v>0</v>
      </c>
      <c r="Q24">
        <f>VLOOKUP(Table15[[#Headers],[HAF]],Table2[#All],4,FALSE)*Table112[[#This Row],[HAF]]</f>
        <v>0</v>
      </c>
      <c r="R24">
        <f>VLOOKUP(Table15[[#Headers],[IND]],Table2[#All],4,FALSE)*Table112[[#This Row],[IND]]</f>
        <v>0</v>
      </c>
      <c r="S24">
        <f>VLOOKUP(Table15[[#Headers],[IRI]],Table2[#All],4,FALSE)*Table112[[#This Row],[IRI]]</f>
        <v>0</v>
      </c>
      <c r="T24">
        <f>VLOOKUP(Table15[[#Headers],[LED]],Table2[#All],4,FALSE)*Table112[[#This Row],[LED]]</f>
        <v>0</v>
      </c>
      <c r="U24">
        <f>VLOOKUP(Table15[[#Headers],[LIT]],Table2[#All],4,FALSE)*Table112[[#This Row],[LIT]]</f>
        <v>0.66666666666666663</v>
      </c>
      <c r="V24">
        <f>VLOOKUP(Table15[[#Headers],[MAG]],Table2[#All],4,FALSE)*Table112[[#This Row],[MAG]]</f>
        <v>0</v>
      </c>
      <c r="W24">
        <f>VLOOKUP(Table15[[#Headers],[MAN]],Table2[#All],4,FALSE)*Table112[[#This Row],[MAN]]</f>
        <v>0</v>
      </c>
      <c r="X24">
        <f>VLOOKUP(Table15[[#Headers],[MCO]],Table2[#All],4,FALSE)*Table112[[#This Row],[MCO]]</f>
        <v>0</v>
      </c>
      <c r="Y24">
        <f>VLOOKUP(Table15[[#Headers],[NIC]],Table2[#All],4,FALSE)*Table112[[#This Row],[NIC]]</f>
        <v>0</v>
      </c>
      <c r="Z24">
        <f>VLOOKUP(Table15[[#Headers],[NIO]],Table2[#All],4,FALSE)*Table112[[#This Row],[NIO]]</f>
        <v>0</v>
      </c>
      <c r="AA24">
        <f>VLOOKUP(Table15[[#Headers],[PAL]],Table2[#All],4,FALSE)*Table112[[#This Row],[PAL]]</f>
        <v>0</v>
      </c>
      <c r="AB24">
        <f>VLOOKUP(Table15[[#Headers],[PHO]],Table2[#All],4,FALSE)*Table112[[#This Row],[PHO]]</f>
        <v>0</v>
      </c>
      <c r="AC24">
        <f>VLOOKUP(Table15[[#Headers],[PLA]],Table2[#All],4,FALSE)*Table112[[#This Row],[PLA]]</f>
        <v>0</v>
      </c>
      <c r="AD24">
        <f>VLOOKUP(Table15[[#Headers],[POT]],Table2[#All],4,FALSE)*Table112[[#This Row],[POT]]</f>
        <v>0</v>
      </c>
      <c r="AE24">
        <f>VLOOKUP(Table15[[#Headers],[RHE]],Table2[#All],4,FALSE)*Table112[[#This Row],[RHE]]</f>
        <v>0</v>
      </c>
      <c r="AF24">
        <f>VLOOKUP(Table15[[#Headers],[RHO]],Table2[#All],4,FALSE)*Table112[[#This Row],[RHO]]</f>
        <v>0</v>
      </c>
      <c r="AG24">
        <f>VLOOKUP(Table15[[#Headers],[RUB]],Table2[#All],4,FALSE)*Table112[[#This Row],[RUB]]</f>
        <v>0</v>
      </c>
      <c r="AH24">
        <f>VLOOKUP(Table15[[#Headers],[RUT]],Table2[#All],4,FALSE)*Table112[[#This Row],[RUT]]</f>
        <v>0</v>
      </c>
      <c r="AI24">
        <f>VLOOKUP(Table15[[#Headers],[SCA]],Table2[#All],4,FALSE)*Table112[[#This Row],[SCA]]</f>
        <v>0</v>
      </c>
      <c r="AJ24">
        <f>VLOOKUP(Table15[[#Headers],[SIL]],Table2[#All],4,FALSE)*Table112[[#This Row],[SIL]]</f>
        <v>0</v>
      </c>
      <c r="AK24">
        <f>VLOOKUP(Table15[[#Headers],[SLV]],Table2[#All],4,FALSE)*Table112[[#This Row],[SLV]]</f>
        <v>0</v>
      </c>
      <c r="AL24">
        <f>VLOOKUP(Table15[[#Headers],[TAN]],Table2[#All],4,FALSE)*Table112[[#This Row],[TAN]]</f>
        <v>0</v>
      </c>
      <c r="AM24">
        <f>VLOOKUP(Table15[[#Headers],[TEL]],Table2[#All],4,FALSE)*Table112[[#This Row],[TEL]]</f>
        <v>0</v>
      </c>
      <c r="AN24">
        <f>VLOOKUP(Table15[[#Headers],[TIN]],Table2[#All],4,FALSE)*Table112[[#This Row],[TIN]]</f>
        <v>0</v>
      </c>
      <c r="AO24">
        <f>VLOOKUP(Table15[[#Headers],[TIT]],Table2[#All],4,FALSE)*Table112[[#This Row],[TIT]]</f>
        <v>0</v>
      </c>
      <c r="AP24">
        <f>VLOOKUP(Table15[[#Headers],[TUN]],Table2[#All],4,FALSE)*Table112[[#This Row],[TUN]]</f>
        <v>0</v>
      </c>
      <c r="AQ24">
        <f>VLOOKUP(Table15[[#Headers],[URA]],Table2[#All],4,FALSE)*Table112[[#This Row],[URA]]</f>
        <v>0</v>
      </c>
      <c r="AR24">
        <f>VLOOKUP(Table15[[#Headers],[VAN]],Table2[#All],4,FALSE)*Table112[[#This Row],[VAN]]</f>
        <v>0</v>
      </c>
      <c r="AS24">
        <f>VLOOKUP(Table15[[#Headers],[ZIN]],Table2[#All],4,FALSE)*Table112[[#This Row],[ZIN]]</f>
        <v>0</v>
      </c>
      <c r="AT24">
        <f>VLOOKUP(Table15[[#Headers],[ZIR]],Table2[#All],4,FALSE)*Table112[[#This Row],[ZIR]]</f>
        <v>0</v>
      </c>
      <c r="AU24">
        <f>VLOOKUP(Table15[[#Headers],[REE]],Table2[#All],4,FALSE)*Table112[[#This Row],[REE]]</f>
        <v>0</v>
      </c>
      <c r="AV24">
        <f t="shared" si="0"/>
        <v>2.2666666666666666</v>
      </c>
    </row>
    <row r="25" spans="1:48">
      <c r="A25" t="s">
        <v>701</v>
      </c>
      <c r="B25">
        <f>VLOOKUP(Table15[[#Headers],[ALU]],Table2[#All],4,FALSE)*Table112[[#This Row],[ALU]]</f>
        <v>0</v>
      </c>
      <c r="C25">
        <f>VLOOKUP(Table15[[#Headers],[ANT]],Table2[#All],4,FALSE)*Table112[[#This Row],[ANT]]</f>
        <v>0</v>
      </c>
      <c r="D25">
        <f>VLOOKUP(Table15[[#Headers],[ARS]],Table2[#All],4,FALSE)</f>
        <v>0.8</v>
      </c>
      <c r="E25">
        <f>VLOOKUP(Table15[[#Headers],[BAR]],Table2[#All],4,FALSE)*Table112[[#This Row],[BAR]]</f>
        <v>0</v>
      </c>
      <c r="F25">
        <f>VLOOKUP(Table15[[#Headers],[BER]],Table2[#All],4,FALSE)*Table112[[#This Row],[BER]]</f>
        <v>0</v>
      </c>
      <c r="G25">
        <f>VLOOKUP(Table15[[#Headers],[BIS]],Table2[#All],4,FALSE)*Table112[[#This Row],[BIS]]</f>
        <v>0</v>
      </c>
      <c r="H25">
        <f>VLOOKUP(Table15[[#Headers],[BOR]],Table2[#All],4,FALSE)*Table112[[#This Row],[BOR]]</f>
        <v>0</v>
      </c>
      <c r="I25">
        <f>VLOOKUP(Table15[[#Headers],[CES]],Table2[#All],4,FALSE)*Table112[[#This Row],[CES]]</f>
        <v>0</v>
      </c>
      <c r="J25">
        <f>VLOOKUP(Table15[[#Headers],[CHR]],Table2[#All],4,FALSE)*Table112[[#This Row],[CHR]]</f>
        <v>0</v>
      </c>
      <c r="K25">
        <f>VLOOKUP(Table15[[#Headers],[COB]],Table2[#All],4,FALSE)*Table112[[#This Row],[COB]]</f>
        <v>0</v>
      </c>
      <c r="L25">
        <f>VLOOKUP(Table15[[#Headers],[COP]],Table2[#All],4,FALSE)*Table112[[#This Row],[COP]]</f>
        <v>0</v>
      </c>
      <c r="M25">
        <f>VLOOKUP(Table15[[#Headers],[FLU]],Table2[#All],4,FALSE)*Table112[[#This Row],[FLU]]</f>
        <v>0</v>
      </c>
      <c r="N25">
        <f>VLOOKUP(Table15[[#Headers],[GAL]],Table2[#All],4,FALSE)*Table112[[#This Row],[GAL]]</f>
        <v>0.8</v>
      </c>
      <c r="O25">
        <f>VLOOKUP(Table15[[#Headers],[GER]],Table2[#All],4,FALSE)*Table112[[#This Row],[GER]]</f>
        <v>0</v>
      </c>
      <c r="P25">
        <f>VLOOKUP(Table15[[#Headers],[GRA]],Table2[#All],4,FALSE)*Table112[[#This Row],[GRA]]</f>
        <v>0</v>
      </c>
      <c r="Q25">
        <f>VLOOKUP(Table15[[#Headers],[HAF]],Table2[#All],4,FALSE)*Table112[[#This Row],[HAF]]</f>
        <v>0</v>
      </c>
      <c r="R25">
        <f>VLOOKUP(Table15[[#Headers],[IND]],Table2[#All],4,FALSE)*Table112[[#This Row],[IND]]</f>
        <v>0</v>
      </c>
      <c r="S25">
        <f>VLOOKUP(Table15[[#Headers],[IRI]],Table2[#All],4,FALSE)*Table112[[#This Row],[IRI]]</f>
        <v>0</v>
      </c>
      <c r="T25">
        <f>VLOOKUP(Table15[[#Headers],[LED]],Table2[#All],4,FALSE)*Table112[[#This Row],[LED]]</f>
        <v>0</v>
      </c>
      <c r="U25">
        <f>VLOOKUP(Table15[[#Headers],[LIT]],Table2[#All],4,FALSE)*Table112[[#This Row],[LIT]]</f>
        <v>0</v>
      </c>
      <c r="V25">
        <f>VLOOKUP(Table15[[#Headers],[MAG]],Table2[#All],4,FALSE)*Table112[[#This Row],[MAG]]</f>
        <v>0</v>
      </c>
      <c r="W25">
        <f>VLOOKUP(Table15[[#Headers],[MAN]],Table2[#All],4,FALSE)*Table112[[#This Row],[MAN]]</f>
        <v>0</v>
      </c>
      <c r="X25">
        <f>VLOOKUP(Table15[[#Headers],[MCO]],Table2[#All],4,FALSE)*Table112[[#This Row],[MCO]]</f>
        <v>0</v>
      </c>
      <c r="Y25">
        <f>VLOOKUP(Table15[[#Headers],[NIC]],Table2[#All],4,FALSE)*Table112[[#This Row],[NIC]]</f>
        <v>0</v>
      </c>
      <c r="Z25">
        <f>VLOOKUP(Table15[[#Headers],[NIO]],Table2[#All],4,FALSE)*Table112[[#This Row],[NIO]]</f>
        <v>0</v>
      </c>
      <c r="AA25">
        <f>VLOOKUP(Table15[[#Headers],[PAL]],Table2[#All],4,FALSE)*Table112[[#This Row],[PAL]]</f>
        <v>0</v>
      </c>
      <c r="AB25">
        <f>VLOOKUP(Table15[[#Headers],[PHO]],Table2[#All],4,FALSE)*Table112[[#This Row],[PHO]]</f>
        <v>0</v>
      </c>
      <c r="AC25">
        <f>VLOOKUP(Table15[[#Headers],[PLA]],Table2[#All],4,FALSE)*Table112[[#This Row],[PLA]]</f>
        <v>0</v>
      </c>
      <c r="AD25">
        <f>VLOOKUP(Table15[[#Headers],[POT]],Table2[#All],4,FALSE)*Table112[[#This Row],[POT]]</f>
        <v>0.6</v>
      </c>
      <c r="AE25">
        <f>VLOOKUP(Table15[[#Headers],[RHE]],Table2[#All],4,FALSE)*Table112[[#This Row],[RHE]]</f>
        <v>0</v>
      </c>
      <c r="AF25">
        <f>VLOOKUP(Table15[[#Headers],[RHO]],Table2[#All],4,FALSE)*Table112[[#This Row],[RHO]]</f>
        <v>0</v>
      </c>
      <c r="AG25">
        <f>VLOOKUP(Table15[[#Headers],[RUB]],Table2[#All],4,FALSE)*Table112[[#This Row],[RUB]]</f>
        <v>0</v>
      </c>
      <c r="AH25">
        <f>VLOOKUP(Table15[[#Headers],[RUT]],Table2[#All],4,FALSE)*Table112[[#This Row],[RUT]]</f>
        <v>0</v>
      </c>
      <c r="AI25">
        <f>VLOOKUP(Table15[[#Headers],[SCA]],Table2[#All],4,FALSE)*Table112[[#This Row],[SCA]]</f>
        <v>0</v>
      </c>
      <c r="AJ25">
        <f>VLOOKUP(Table15[[#Headers],[SIL]],Table2[#All],4,FALSE)*Table112[[#This Row],[SIL]]</f>
        <v>0</v>
      </c>
      <c r="AK25">
        <f>VLOOKUP(Table15[[#Headers],[SLV]],Table2[#All],4,FALSE)*Table112[[#This Row],[SLV]]</f>
        <v>0</v>
      </c>
      <c r="AL25">
        <f>VLOOKUP(Table15[[#Headers],[TAN]],Table2[#All],4,FALSE)*Table112[[#This Row],[TAN]]</f>
        <v>0</v>
      </c>
      <c r="AM25">
        <f>VLOOKUP(Table15[[#Headers],[TEL]],Table2[#All],4,FALSE)*Table112[[#This Row],[TEL]]</f>
        <v>0</v>
      </c>
      <c r="AN25">
        <f>VLOOKUP(Table15[[#Headers],[TIN]],Table2[#All],4,FALSE)*Table112[[#This Row],[TIN]]</f>
        <v>0</v>
      </c>
      <c r="AO25">
        <f>VLOOKUP(Table15[[#Headers],[TIT]],Table2[#All],4,FALSE)*Table112[[#This Row],[TIT]]</f>
        <v>0</v>
      </c>
      <c r="AP25">
        <f>VLOOKUP(Table15[[#Headers],[TUN]],Table2[#All],4,FALSE)*Table112[[#This Row],[TUN]]</f>
        <v>0</v>
      </c>
      <c r="AQ25">
        <f>VLOOKUP(Table15[[#Headers],[URA]],Table2[#All],4,FALSE)*Table112[[#This Row],[URA]]</f>
        <v>0</v>
      </c>
      <c r="AR25">
        <f>VLOOKUP(Table15[[#Headers],[VAN]],Table2[#All],4,FALSE)*Table112[[#This Row],[VAN]]</f>
        <v>0</v>
      </c>
      <c r="AS25">
        <f>VLOOKUP(Table15[[#Headers],[ZIN]],Table2[#All],4,FALSE)*Table112[[#This Row],[ZIN]]</f>
        <v>0</v>
      </c>
      <c r="AT25">
        <f>VLOOKUP(Table15[[#Headers],[ZIR]],Table2[#All],4,FALSE)*Table112[[#This Row],[ZIR]]</f>
        <v>0</v>
      </c>
      <c r="AU25">
        <f>VLOOKUP(Table15[[#Headers],[REE]],Table2[#All],4,FALSE)*Table112[[#This Row],[REE]]</f>
        <v>0</v>
      </c>
      <c r="AV25">
        <f t="shared" si="0"/>
        <v>2.2000000000000002</v>
      </c>
    </row>
    <row r="26" spans="1:48">
      <c r="A26" t="s">
        <v>526</v>
      </c>
      <c r="B26">
        <f>VLOOKUP(Table15[[#Headers],[ALU]],Table2[#All],4,FALSE)*Table112[[#This Row],[ALU]]</f>
        <v>0</v>
      </c>
      <c r="C26">
        <f>VLOOKUP(Table15[[#Headers],[ANT]],Table2[#All],4,FALSE)*Table112[[#This Row],[ANT]]</f>
        <v>0</v>
      </c>
      <c r="D26">
        <f>VLOOKUP(Table15[[#Headers],[ARS]],Table2[#All],4,FALSE)</f>
        <v>0.8</v>
      </c>
      <c r="E26">
        <f>VLOOKUP(Table15[[#Headers],[BAR]],Table2[#All],4,FALSE)*Table112[[#This Row],[BAR]]</f>
        <v>0</v>
      </c>
      <c r="F26">
        <f>VLOOKUP(Table15[[#Headers],[BER]],Table2[#All],4,FALSE)*Table112[[#This Row],[BER]]</f>
        <v>0</v>
      </c>
      <c r="G26">
        <f>VLOOKUP(Table15[[#Headers],[BIS]],Table2[#All],4,FALSE)*Table112[[#This Row],[BIS]]</f>
        <v>0</v>
      </c>
      <c r="H26">
        <f>VLOOKUP(Table15[[#Headers],[BOR]],Table2[#All],4,FALSE)*Table112[[#This Row],[BOR]]</f>
        <v>0</v>
      </c>
      <c r="I26">
        <f>VLOOKUP(Table15[[#Headers],[CES]],Table2[#All],4,FALSE)*Table112[[#This Row],[CES]]</f>
        <v>0</v>
      </c>
      <c r="J26">
        <f>VLOOKUP(Table15[[#Headers],[CHR]],Table2[#All],4,FALSE)*Table112[[#This Row],[CHR]]</f>
        <v>0</v>
      </c>
      <c r="K26">
        <f>VLOOKUP(Table15[[#Headers],[COB]],Table2[#All],4,FALSE)*Table112[[#This Row],[COB]]</f>
        <v>0</v>
      </c>
      <c r="L26">
        <f>VLOOKUP(Table15[[#Headers],[COP]],Table2[#All],4,FALSE)*Table112[[#This Row],[COP]]</f>
        <v>0</v>
      </c>
      <c r="M26">
        <f>VLOOKUP(Table15[[#Headers],[FLU]],Table2[#All],4,FALSE)*Table112[[#This Row],[FLU]]</f>
        <v>0.8</v>
      </c>
      <c r="N26">
        <f>VLOOKUP(Table15[[#Headers],[GAL]],Table2[#All],4,FALSE)*Table112[[#This Row],[GAL]]</f>
        <v>0</v>
      </c>
      <c r="O26">
        <f>VLOOKUP(Table15[[#Headers],[GER]],Table2[#All],4,FALSE)*Table112[[#This Row],[GER]]</f>
        <v>0</v>
      </c>
      <c r="P26">
        <f>VLOOKUP(Table15[[#Headers],[GRA]],Table2[#All],4,FALSE)*Table112[[#This Row],[GRA]]</f>
        <v>0</v>
      </c>
      <c r="Q26">
        <f>VLOOKUP(Table15[[#Headers],[HAF]],Table2[#All],4,FALSE)*Table112[[#This Row],[HAF]]</f>
        <v>0</v>
      </c>
      <c r="R26">
        <f>VLOOKUP(Table15[[#Headers],[IND]],Table2[#All],4,FALSE)*Table112[[#This Row],[IND]]</f>
        <v>0</v>
      </c>
      <c r="S26">
        <f>VLOOKUP(Table15[[#Headers],[IRI]],Table2[#All],4,FALSE)*Table112[[#This Row],[IRI]]</f>
        <v>0</v>
      </c>
      <c r="T26">
        <f>VLOOKUP(Table15[[#Headers],[LED]],Table2[#All],4,FALSE)*Table112[[#This Row],[LED]]</f>
        <v>0</v>
      </c>
      <c r="U26">
        <f>VLOOKUP(Table15[[#Headers],[LIT]],Table2[#All],4,FALSE)*Table112[[#This Row],[LIT]]</f>
        <v>0</v>
      </c>
      <c r="V26">
        <f>VLOOKUP(Table15[[#Headers],[MAG]],Table2[#All],4,FALSE)*Table112[[#This Row],[MAG]]</f>
        <v>0</v>
      </c>
      <c r="W26">
        <f>VLOOKUP(Table15[[#Headers],[MAN]],Table2[#All],4,FALSE)*Table112[[#This Row],[MAN]]</f>
        <v>0</v>
      </c>
      <c r="X26">
        <f>VLOOKUP(Table15[[#Headers],[MCO]],Table2[#All],4,FALSE)*Table112[[#This Row],[MCO]]</f>
        <v>0.8</v>
      </c>
      <c r="Y26">
        <f>VLOOKUP(Table15[[#Headers],[NIC]],Table2[#All],4,FALSE)*Table112[[#This Row],[NIC]]</f>
        <v>0</v>
      </c>
      <c r="Z26">
        <f>VLOOKUP(Table15[[#Headers],[NIO]],Table2[#All],4,FALSE)*Table112[[#This Row],[NIO]]</f>
        <v>0</v>
      </c>
      <c r="AA26">
        <f>VLOOKUP(Table15[[#Headers],[PAL]],Table2[#All],4,FALSE)*Table112[[#This Row],[PAL]]</f>
        <v>0</v>
      </c>
      <c r="AB26">
        <f>VLOOKUP(Table15[[#Headers],[PHO]],Table2[#All],4,FALSE)*Table112[[#This Row],[PHO]]</f>
        <v>0</v>
      </c>
      <c r="AC26">
        <f>VLOOKUP(Table15[[#Headers],[PLA]],Table2[#All],4,FALSE)*Table112[[#This Row],[PLA]]</f>
        <v>0</v>
      </c>
      <c r="AD26">
        <f>VLOOKUP(Table15[[#Headers],[POT]],Table2[#All],4,FALSE)*Table112[[#This Row],[POT]]</f>
        <v>0</v>
      </c>
      <c r="AE26">
        <f>VLOOKUP(Table15[[#Headers],[RHE]],Table2[#All],4,FALSE)*Table112[[#This Row],[RHE]]</f>
        <v>0</v>
      </c>
      <c r="AF26">
        <f>VLOOKUP(Table15[[#Headers],[RHO]],Table2[#All],4,FALSE)*Table112[[#This Row],[RHO]]</f>
        <v>0</v>
      </c>
      <c r="AG26">
        <f>VLOOKUP(Table15[[#Headers],[RUB]],Table2[#All],4,FALSE)*Table112[[#This Row],[RUB]]</f>
        <v>0</v>
      </c>
      <c r="AH26">
        <f>VLOOKUP(Table15[[#Headers],[RUT]],Table2[#All],4,FALSE)*Table112[[#This Row],[RUT]]</f>
        <v>0</v>
      </c>
      <c r="AI26">
        <f>VLOOKUP(Table15[[#Headers],[SCA]],Table2[#All],4,FALSE)*Table112[[#This Row],[SCA]]</f>
        <v>0</v>
      </c>
      <c r="AJ26">
        <f>VLOOKUP(Table15[[#Headers],[SIL]],Table2[#All],4,FALSE)*Table112[[#This Row],[SIL]]</f>
        <v>0</v>
      </c>
      <c r="AK26">
        <f>VLOOKUP(Table15[[#Headers],[SLV]],Table2[#All],4,FALSE)*Table112[[#This Row],[SLV]]</f>
        <v>0</v>
      </c>
      <c r="AL26">
        <f>VLOOKUP(Table15[[#Headers],[TAN]],Table2[#All],4,FALSE)*Table112[[#This Row],[TAN]]</f>
        <v>0</v>
      </c>
      <c r="AM26">
        <f>VLOOKUP(Table15[[#Headers],[TEL]],Table2[#All],4,FALSE)*Table112[[#This Row],[TEL]]</f>
        <v>0</v>
      </c>
      <c r="AN26">
        <f>VLOOKUP(Table15[[#Headers],[TIN]],Table2[#All],4,FALSE)*Table112[[#This Row],[TIN]]</f>
        <v>0</v>
      </c>
      <c r="AO26">
        <f>VLOOKUP(Table15[[#Headers],[TIT]],Table2[#All],4,FALSE)*Table112[[#This Row],[TIT]]</f>
        <v>0</v>
      </c>
      <c r="AP26">
        <f>VLOOKUP(Table15[[#Headers],[TUN]],Table2[#All],4,FALSE)*Table112[[#This Row],[TUN]]</f>
        <v>0</v>
      </c>
      <c r="AQ26">
        <f>VLOOKUP(Table15[[#Headers],[URA]],Table2[#All],4,FALSE)*Table112[[#This Row],[URA]]</f>
        <v>0</v>
      </c>
      <c r="AR26">
        <f>VLOOKUP(Table15[[#Headers],[VAN]],Table2[#All],4,FALSE)*Table112[[#This Row],[VAN]]</f>
        <v>0</v>
      </c>
      <c r="AS26">
        <f>VLOOKUP(Table15[[#Headers],[ZIN]],Table2[#All],4,FALSE)*Table112[[#This Row],[ZIN]]</f>
        <v>0</v>
      </c>
      <c r="AT26">
        <f>VLOOKUP(Table15[[#Headers],[ZIR]],Table2[#All],4,FALSE)*Table112[[#This Row],[ZIR]]</f>
        <v>0</v>
      </c>
      <c r="AU26">
        <f>VLOOKUP(Table15[[#Headers],[REE]],Table2[#All],4,FALSE)*Table112[[#This Row],[REE]]</f>
        <v>0</v>
      </c>
      <c r="AV26">
        <f t="shared" si="0"/>
        <v>2.4000000000000004</v>
      </c>
    </row>
    <row r="27" spans="1:48">
      <c r="A27" t="s">
        <v>516</v>
      </c>
      <c r="B27">
        <f>VLOOKUP(Table15[[#Headers],[ALU]],Table2[#All],4,FALSE)*Table112[[#This Row],[ALU]]</f>
        <v>0</v>
      </c>
      <c r="C27">
        <f>VLOOKUP(Table15[[#Headers],[ANT]],Table2[#All],4,FALSE)*Table112[[#This Row],[ANT]]</f>
        <v>0.66666666666666663</v>
      </c>
      <c r="D27">
        <f>VLOOKUP(Table15[[#Headers],[ARS]],Table2[#All],4,FALSE)</f>
        <v>0.8</v>
      </c>
      <c r="E27">
        <f>VLOOKUP(Table15[[#Headers],[BAR]],Table2[#All],4,FALSE)*Table112[[#This Row],[BAR]]</f>
        <v>0</v>
      </c>
      <c r="F27">
        <f>VLOOKUP(Table15[[#Headers],[BER]],Table2[#All],4,FALSE)*Table112[[#This Row],[BER]]</f>
        <v>0</v>
      </c>
      <c r="G27">
        <f>VLOOKUP(Table15[[#Headers],[BIS]],Table2[#All],4,FALSE)*Table112[[#This Row],[BIS]]</f>
        <v>0</v>
      </c>
      <c r="H27">
        <f>VLOOKUP(Table15[[#Headers],[BOR]],Table2[#All],4,FALSE)*Table112[[#This Row],[BOR]]</f>
        <v>0</v>
      </c>
      <c r="I27">
        <f>VLOOKUP(Table15[[#Headers],[CES]],Table2[#All],4,FALSE)*Table112[[#This Row],[CES]]</f>
        <v>0</v>
      </c>
      <c r="J27">
        <f>VLOOKUP(Table15[[#Headers],[CHR]],Table2[#All],4,FALSE)*Table112[[#This Row],[CHR]]</f>
        <v>0</v>
      </c>
      <c r="K27">
        <f>VLOOKUP(Table15[[#Headers],[COB]],Table2[#All],4,FALSE)*Table112[[#This Row],[COB]]</f>
        <v>0</v>
      </c>
      <c r="L27">
        <f>VLOOKUP(Table15[[#Headers],[COP]],Table2[#All],4,FALSE)*Table112[[#This Row],[COP]]</f>
        <v>0</v>
      </c>
      <c r="M27">
        <f>VLOOKUP(Table15[[#Headers],[FLU]],Table2[#All],4,FALSE)*Table112[[#This Row],[FLU]]</f>
        <v>0</v>
      </c>
      <c r="N27">
        <f>VLOOKUP(Table15[[#Headers],[GAL]],Table2[#All],4,FALSE)*Table112[[#This Row],[GAL]]</f>
        <v>0</v>
      </c>
      <c r="O27">
        <f>VLOOKUP(Table15[[#Headers],[GER]],Table2[#All],4,FALSE)*Table112[[#This Row],[GER]]</f>
        <v>0</v>
      </c>
      <c r="P27">
        <f>VLOOKUP(Table15[[#Headers],[GRA]],Table2[#All],4,FALSE)*Table112[[#This Row],[GRA]]</f>
        <v>0</v>
      </c>
      <c r="Q27">
        <f>VLOOKUP(Table15[[#Headers],[HAF]],Table2[#All],4,FALSE)*Table112[[#This Row],[HAF]]</f>
        <v>0</v>
      </c>
      <c r="R27">
        <f>VLOOKUP(Table15[[#Headers],[IND]],Table2[#All],4,FALSE)*Table112[[#This Row],[IND]]</f>
        <v>0</v>
      </c>
      <c r="S27">
        <f>VLOOKUP(Table15[[#Headers],[IRI]],Table2[#All],4,FALSE)*Table112[[#This Row],[IRI]]</f>
        <v>0</v>
      </c>
      <c r="T27">
        <f>VLOOKUP(Table15[[#Headers],[LED]],Table2[#All],4,FALSE)*Table112[[#This Row],[LED]]</f>
        <v>0</v>
      </c>
      <c r="U27">
        <f>VLOOKUP(Table15[[#Headers],[LIT]],Table2[#All],4,FALSE)*Table112[[#This Row],[LIT]]</f>
        <v>0</v>
      </c>
      <c r="V27">
        <f>VLOOKUP(Table15[[#Headers],[MAG]],Table2[#All],4,FALSE)*Table112[[#This Row],[MAG]]</f>
        <v>0</v>
      </c>
      <c r="W27">
        <f>VLOOKUP(Table15[[#Headers],[MAN]],Table2[#All],4,FALSE)*Table112[[#This Row],[MAN]]</f>
        <v>0</v>
      </c>
      <c r="X27">
        <f>VLOOKUP(Table15[[#Headers],[MCO]],Table2[#All],4,FALSE)*Table112[[#This Row],[MCO]]</f>
        <v>0</v>
      </c>
      <c r="Y27">
        <f>VLOOKUP(Table15[[#Headers],[NIC]],Table2[#All],4,FALSE)*Table112[[#This Row],[NIC]]</f>
        <v>0</v>
      </c>
      <c r="Z27">
        <f>VLOOKUP(Table15[[#Headers],[NIO]],Table2[#All],4,FALSE)*Table112[[#This Row],[NIO]]</f>
        <v>0</v>
      </c>
      <c r="AA27">
        <f>VLOOKUP(Table15[[#Headers],[PAL]],Table2[#All],4,FALSE)*Table112[[#This Row],[PAL]]</f>
        <v>0</v>
      </c>
      <c r="AB27">
        <f>VLOOKUP(Table15[[#Headers],[PHO]],Table2[#All],4,FALSE)*Table112[[#This Row],[PHO]]</f>
        <v>0</v>
      </c>
      <c r="AC27">
        <f>VLOOKUP(Table15[[#Headers],[PLA]],Table2[#All],4,FALSE)*Table112[[#This Row],[PLA]]</f>
        <v>0</v>
      </c>
      <c r="AD27">
        <f>VLOOKUP(Table15[[#Headers],[POT]],Table2[#All],4,FALSE)*Table112[[#This Row],[POT]]</f>
        <v>0</v>
      </c>
      <c r="AE27">
        <f>VLOOKUP(Table15[[#Headers],[RHE]],Table2[#All],4,FALSE)*Table112[[#This Row],[RHE]]</f>
        <v>0</v>
      </c>
      <c r="AF27">
        <f>VLOOKUP(Table15[[#Headers],[RHO]],Table2[#All],4,FALSE)*Table112[[#This Row],[RHO]]</f>
        <v>0</v>
      </c>
      <c r="AG27">
        <f>VLOOKUP(Table15[[#Headers],[RUB]],Table2[#All],4,FALSE)*Table112[[#This Row],[RUB]]</f>
        <v>0</v>
      </c>
      <c r="AH27">
        <f>VLOOKUP(Table15[[#Headers],[RUT]],Table2[#All],4,FALSE)*Table112[[#This Row],[RUT]]</f>
        <v>0</v>
      </c>
      <c r="AI27">
        <f>VLOOKUP(Table15[[#Headers],[SCA]],Table2[#All],4,FALSE)*Table112[[#This Row],[SCA]]</f>
        <v>0</v>
      </c>
      <c r="AJ27">
        <f>VLOOKUP(Table15[[#Headers],[SIL]],Table2[#All],4,FALSE)*Table112[[#This Row],[SIL]]</f>
        <v>0</v>
      </c>
      <c r="AK27">
        <f>VLOOKUP(Table15[[#Headers],[SLV]],Table2[#All],4,FALSE)*Table112[[#This Row],[SLV]]</f>
        <v>0</v>
      </c>
      <c r="AL27">
        <f>VLOOKUP(Table15[[#Headers],[TAN]],Table2[#All],4,FALSE)*Table112[[#This Row],[TAN]]</f>
        <v>0</v>
      </c>
      <c r="AM27">
        <f>VLOOKUP(Table15[[#Headers],[TEL]],Table2[#All],4,FALSE)*Table112[[#This Row],[TEL]]</f>
        <v>0</v>
      </c>
      <c r="AN27">
        <f>VLOOKUP(Table15[[#Headers],[TIN]],Table2[#All],4,FALSE)*Table112[[#This Row],[TIN]]</f>
        <v>0.66666666666666663</v>
      </c>
      <c r="AO27">
        <f>VLOOKUP(Table15[[#Headers],[TIT]],Table2[#All],4,FALSE)*Table112[[#This Row],[TIT]]</f>
        <v>0</v>
      </c>
      <c r="AP27">
        <f>VLOOKUP(Table15[[#Headers],[TUN]],Table2[#All],4,FALSE)*Table112[[#This Row],[TUN]]</f>
        <v>0</v>
      </c>
      <c r="AQ27">
        <f>VLOOKUP(Table15[[#Headers],[URA]],Table2[#All],4,FALSE)*Table112[[#This Row],[URA]]</f>
        <v>0</v>
      </c>
      <c r="AR27">
        <f>VLOOKUP(Table15[[#Headers],[VAN]],Table2[#All],4,FALSE)*Table112[[#This Row],[VAN]]</f>
        <v>0</v>
      </c>
      <c r="AS27">
        <f>VLOOKUP(Table15[[#Headers],[ZIN]],Table2[#All],4,FALSE)*Table112[[#This Row],[ZIN]]</f>
        <v>0</v>
      </c>
      <c r="AT27">
        <f>VLOOKUP(Table15[[#Headers],[ZIR]],Table2[#All],4,FALSE)*Table112[[#This Row],[ZIR]]</f>
        <v>0</v>
      </c>
      <c r="AU27">
        <f>VLOOKUP(Table15[[#Headers],[REE]],Table2[#All],4,FALSE)*Table112[[#This Row],[REE]]</f>
        <v>0</v>
      </c>
      <c r="AV27">
        <f t="shared" si="0"/>
        <v>2.1333333333333333</v>
      </c>
    </row>
    <row r="28" spans="1:48">
      <c r="A28" t="s">
        <v>628</v>
      </c>
      <c r="B28">
        <f>VLOOKUP(Table15[[#Headers],[ALU]],Table2[#All],4,FALSE)*Table112[[#This Row],[ALU]]</f>
        <v>0</v>
      </c>
      <c r="C28">
        <f>VLOOKUP(Table15[[#Headers],[ANT]],Table2[#All],4,FALSE)*Table112[[#This Row],[ANT]]</f>
        <v>0</v>
      </c>
      <c r="D28">
        <f>VLOOKUP(Table15[[#Headers],[ARS]],Table2[#All],4,FALSE)</f>
        <v>0.8</v>
      </c>
      <c r="E28">
        <f>VLOOKUP(Table15[[#Headers],[BAR]],Table2[#All],4,FALSE)*Table112[[#This Row],[BAR]]</f>
        <v>0</v>
      </c>
      <c r="F28">
        <f>VLOOKUP(Table15[[#Headers],[BER]],Table2[#All],4,FALSE)*Table112[[#This Row],[BER]]</f>
        <v>0</v>
      </c>
      <c r="G28">
        <f>VLOOKUP(Table15[[#Headers],[BIS]],Table2[#All],4,FALSE)*Table112[[#This Row],[BIS]]</f>
        <v>0</v>
      </c>
      <c r="H28">
        <f>VLOOKUP(Table15[[#Headers],[BOR]],Table2[#All],4,FALSE)*Table112[[#This Row],[BOR]]</f>
        <v>0</v>
      </c>
      <c r="I28">
        <f>VLOOKUP(Table15[[#Headers],[CES]],Table2[#All],4,FALSE)*Table112[[#This Row],[CES]]</f>
        <v>0</v>
      </c>
      <c r="J28">
        <f>VLOOKUP(Table15[[#Headers],[CHR]],Table2[#All],4,FALSE)*Table112[[#This Row],[CHR]]</f>
        <v>0</v>
      </c>
      <c r="K28">
        <f>VLOOKUP(Table15[[#Headers],[COB]],Table2[#All],4,FALSE)*Table112[[#This Row],[COB]]</f>
        <v>0</v>
      </c>
      <c r="L28">
        <f>VLOOKUP(Table15[[#Headers],[COP]],Table2[#All],4,FALSE)*Table112[[#This Row],[COP]]</f>
        <v>0</v>
      </c>
      <c r="M28">
        <f>VLOOKUP(Table15[[#Headers],[FLU]],Table2[#All],4,FALSE)*Table112[[#This Row],[FLU]]</f>
        <v>0</v>
      </c>
      <c r="N28">
        <f>VLOOKUP(Table15[[#Headers],[GAL]],Table2[#All],4,FALSE)*Table112[[#This Row],[GAL]]</f>
        <v>0</v>
      </c>
      <c r="O28">
        <f>VLOOKUP(Table15[[#Headers],[GER]],Table2[#All],4,FALSE)*Table112[[#This Row],[GER]]</f>
        <v>0</v>
      </c>
      <c r="P28">
        <f>VLOOKUP(Table15[[#Headers],[GRA]],Table2[#All],4,FALSE)*Table112[[#This Row],[GRA]]</f>
        <v>0</v>
      </c>
      <c r="Q28">
        <f>VLOOKUP(Table15[[#Headers],[HAF]],Table2[#All],4,FALSE)*Table112[[#This Row],[HAF]]</f>
        <v>0</v>
      </c>
      <c r="R28">
        <f>VLOOKUP(Table15[[#Headers],[IND]],Table2[#All],4,FALSE)*Table112[[#This Row],[IND]]</f>
        <v>0</v>
      </c>
      <c r="S28">
        <f>VLOOKUP(Table15[[#Headers],[IRI]],Table2[#All],4,FALSE)*Table112[[#This Row],[IRI]]</f>
        <v>0</v>
      </c>
      <c r="T28">
        <f>VLOOKUP(Table15[[#Headers],[LED]],Table2[#All],4,FALSE)*Table112[[#This Row],[LED]]</f>
        <v>0</v>
      </c>
      <c r="U28">
        <f>VLOOKUP(Table15[[#Headers],[LIT]],Table2[#All],4,FALSE)*Table112[[#This Row],[LIT]]</f>
        <v>0</v>
      </c>
      <c r="V28">
        <f>VLOOKUP(Table15[[#Headers],[MAG]],Table2[#All],4,FALSE)*Table112[[#This Row],[MAG]]</f>
        <v>0</v>
      </c>
      <c r="W28">
        <f>VLOOKUP(Table15[[#Headers],[MAN]],Table2[#All],4,FALSE)*Table112[[#This Row],[MAN]]</f>
        <v>0</v>
      </c>
      <c r="X28">
        <f>VLOOKUP(Table15[[#Headers],[MCO]],Table2[#All],4,FALSE)*Table112[[#This Row],[MCO]]</f>
        <v>0</v>
      </c>
      <c r="Y28">
        <f>VLOOKUP(Table15[[#Headers],[NIC]],Table2[#All],4,FALSE)*Table112[[#This Row],[NIC]]</f>
        <v>0.66666666666666663</v>
      </c>
      <c r="Z28">
        <f>VLOOKUP(Table15[[#Headers],[NIO]],Table2[#All],4,FALSE)*Table112[[#This Row],[NIO]]</f>
        <v>0</v>
      </c>
      <c r="AA28">
        <f>VLOOKUP(Table15[[#Headers],[PAL]],Table2[#All],4,FALSE)*Table112[[#This Row],[PAL]]</f>
        <v>0</v>
      </c>
      <c r="AB28">
        <f>VLOOKUP(Table15[[#Headers],[PHO]],Table2[#All],4,FALSE)*Table112[[#This Row],[PHO]]</f>
        <v>0</v>
      </c>
      <c r="AC28">
        <f>VLOOKUP(Table15[[#Headers],[PLA]],Table2[#All],4,FALSE)*Table112[[#This Row],[PLA]]</f>
        <v>0</v>
      </c>
      <c r="AD28">
        <f>VLOOKUP(Table15[[#Headers],[POT]],Table2[#All],4,FALSE)*Table112[[#This Row],[POT]]</f>
        <v>0</v>
      </c>
      <c r="AE28">
        <f>VLOOKUP(Table15[[#Headers],[RHE]],Table2[#All],4,FALSE)*Table112[[#This Row],[RHE]]</f>
        <v>0</v>
      </c>
      <c r="AF28">
        <f>VLOOKUP(Table15[[#Headers],[RHO]],Table2[#All],4,FALSE)*Table112[[#This Row],[RHO]]</f>
        <v>0</v>
      </c>
      <c r="AG28">
        <f>VLOOKUP(Table15[[#Headers],[RUB]],Table2[#All],4,FALSE)*Table112[[#This Row],[RUB]]</f>
        <v>0</v>
      </c>
      <c r="AH28">
        <f>VLOOKUP(Table15[[#Headers],[RUT]],Table2[#All],4,FALSE)*Table112[[#This Row],[RUT]]</f>
        <v>0</v>
      </c>
      <c r="AI28">
        <f>VLOOKUP(Table15[[#Headers],[SCA]],Table2[#All],4,FALSE)*Table112[[#This Row],[SCA]]</f>
        <v>0.6</v>
      </c>
      <c r="AJ28">
        <f>VLOOKUP(Table15[[#Headers],[SIL]],Table2[#All],4,FALSE)*Table112[[#This Row],[SIL]]</f>
        <v>0</v>
      </c>
      <c r="AK28">
        <f>VLOOKUP(Table15[[#Headers],[SLV]],Table2[#All],4,FALSE)*Table112[[#This Row],[SLV]]</f>
        <v>0</v>
      </c>
      <c r="AL28">
        <f>VLOOKUP(Table15[[#Headers],[TAN]],Table2[#All],4,FALSE)*Table112[[#This Row],[TAN]]</f>
        <v>0</v>
      </c>
      <c r="AM28">
        <f>VLOOKUP(Table15[[#Headers],[TEL]],Table2[#All],4,FALSE)*Table112[[#This Row],[TEL]]</f>
        <v>0</v>
      </c>
      <c r="AN28">
        <f>VLOOKUP(Table15[[#Headers],[TIN]],Table2[#All],4,FALSE)*Table112[[#This Row],[TIN]]</f>
        <v>0</v>
      </c>
      <c r="AO28">
        <f>VLOOKUP(Table15[[#Headers],[TIT]],Table2[#All],4,FALSE)*Table112[[#This Row],[TIT]]</f>
        <v>0</v>
      </c>
      <c r="AP28">
        <f>VLOOKUP(Table15[[#Headers],[TUN]],Table2[#All],4,FALSE)*Table112[[#This Row],[TUN]]</f>
        <v>0</v>
      </c>
      <c r="AQ28">
        <f>VLOOKUP(Table15[[#Headers],[URA]],Table2[#All],4,FALSE)*Table112[[#This Row],[URA]]</f>
        <v>0</v>
      </c>
      <c r="AR28">
        <f>VLOOKUP(Table15[[#Headers],[VAN]],Table2[#All],4,FALSE)*Table112[[#This Row],[VAN]]</f>
        <v>0</v>
      </c>
      <c r="AS28">
        <f>VLOOKUP(Table15[[#Headers],[ZIN]],Table2[#All],4,FALSE)*Table112[[#This Row],[ZIN]]</f>
        <v>0</v>
      </c>
      <c r="AT28">
        <f>VLOOKUP(Table15[[#Headers],[ZIR]],Table2[#All],4,FALSE)*Table112[[#This Row],[ZIR]]</f>
        <v>0</v>
      </c>
      <c r="AU28">
        <f>VLOOKUP(Table15[[#Headers],[REE]],Table2[#All],4,FALSE)*Table112[[#This Row],[REE]]</f>
        <v>0</v>
      </c>
      <c r="AV28">
        <f t="shared" si="0"/>
        <v>2.0666666666666669</v>
      </c>
    </row>
    <row r="29" spans="1:48">
      <c r="A29" t="s">
        <v>630</v>
      </c>
      <c r="B29">
        <f>VLOOKUP(Table15[[#Headers],[ALU]],Table2[#All],4,FALSE)*Table112[[#This Row],[ALU]]</f>
        <v>0</v>
      </c>
      <c r="C29">
        <f>VLOOKUP(Table15[[#Headers],[ANT]],Table2[#All],4,FALSE)*Table112[[#This Row],[ANT]]</f>
        <v>0</v>
      </c>
      <c r="D29">
        <f>VLOOKUP(Table15[[#Headers],[ARS]],Table2[#All],4,FALSE)</f>
        <v>0.8</v>
      </c>
      <c r="E29">
        <f>VLOOKUP(Table15[[#Headers],[BAR]],Table2[#All],4,FALSE)*Table112[[#This Row],[BAR]]</f>
        <v>0</v>
      </c>
      <c r="F29">
        <f>VLOOKUP(Table15[[#Headers],[BER]],Table2[#All],4,FALSE)*Table112[[#This Row],[BER]]</f>
        <v>0</v>
      </c>
      <c r="G29">
        <f>VLOOKUP(Table15[[#Headers],[BIS]],Table2[#All],4,FALSE)*Table112[[#This Row],[BIS]]</f>
        <v>0</v>
      </c>
      <c r="H29">
        <f>VLOOKUP(Table15[[#Headers],[BOR]],Table2[#All],4,FALSE)*Table112[[#This Row],[BOR]]</f>
        <v>0</v>
      </c>
      <c r="I29">
        <f>VLOOKUP(Table15[[#Headers],[CES]],Table2[#All],4,FALSE)*Table112[[#This Row],[CES]]</f>
        <v>0</v>
      </c>
      <c r="J29">
        <f>VLOOKUP(Table15[[#Headers],[CHR]],Table2[#All],4,FALSE)*Table112[[#This Row],[CHR]]</f>
        <v>0</v>
      </c>
      <c r="K29">
        <f>VLOOKUP(Table15[[#Headers],[COB]],Table2[#All],4,FALSE)*Table112[[#This Row],[COB]]</f>
        <v>0</v>
      </c>
      <c r="L29">
        <f>VLOOKUP(Table15[[#Headers],[COP]],Table2[#All],4,FALSE)*Table112[[#This Row],[COP]]</f>
        <v>0</v>
      </c>
      <c r="M29">
        <f>VLOOKUP(Table15[[#Headers],[FLU]],Table2[#All],4,FALSE)*Table112[[#This Row],[FLU]]</f>
        <v>0</v>
      </c>
      <c r="N29">
        <f>VLOOKUP(Table15[[#Headers],[GAL]],Table2[#All],4,FALSE)*Table112[[#This Row],[GAL]]</f>
        <v>0</v>
      </c>
      <c r="O29">
        <f>VLOOKUP(Table15[[#Headers],[GER]],Table2[#All],4,FALSE)*Table112[[#This Row],[GER]]</f>
        <v>0</v>
      </c>
      <c r="P29">
        <f>VLOOKUP(Table15[[#Headers],[GRA]],Table2[#All],4,FALSE)*Table112[[#This Row],[GRA]]</f>
        <v>0</v>
      </c>
      <c r="Q29">
        <f>VLOOKUP(Table15[[#Headers],[HAF]],Table2[#All],4,FALSE)*Table112[[#This Row],[HAF]]</f>
        <v>0</v>
      </c>
      <c r="R29">
        <f>VLOOKUP(Table15[[#Headers],[IND]],Table2[#All],4,FALSE)*Table112[[#This Row],[IND]]</f>
        <v>0</v>
      </c>
      <c r="S29">
        <f>VLOOKUP(Table15[[#Headers],[IRI]],Table2[#All],4,FALSE)*Table112[[#This Row],[IRI]]</f>
        <v>0</v>
      </c>
      <c r="T29">
        <f>VLOOKUP(Table15[[#Headers],[LED]],Table2[#All],4,FALSE)*Table112[[#This Row],[LED]]</f>
        <v>0</v>
      </c>
      <c r="U29">
        <f>VLOOKUP(Table15[[#Headers],[LIT]],Table2[#All],4,FALSE)*Table112[[#This Row],[LIT]]</f>
        <v>0</v>
      </c>
      <c r="V29">
        <f>VLOOKUP(Table15[[#Headers],[MAG]],Table2[#All],4,FALSE)*Table112[[#This Row],[MAG]]</f>
        <v>0</v>
      </c>
      <c r="W29">
        <f>VLOOKUP(Table15[[#Headers],[MAN]],Table2[#All],4,FALSE)*Table112[[#This Row],[MAN]]</f>
        <v>0</v>
      </c>
      <c r="X29">
        <f>VLOOKUP(Table15[[#Headers],[MCO]],Table2[#All],4,FALSE)*Table112[[#This Row],[MCO]]</f>
        <v>0</v>
      </c>
      <c r="Y29">
        <f>VLOOKUP(Table15[[#Headers],[NIC]],Table2[#All],4,FALSE)*Table112[[#This Row],[NIC]]</f>
        <v>0</v>
      </c>
      <c r="Z29">
        <f>VLOOKUP(Table15[[#Headers],[NIO]],Table2[#All],4,FALSE)*Table112[[#This Row],[NIO]]</f>
        <v>0</v>
      </c>
      <c r="AA29">
        <f>VLOOKUP(Table15[[#Headers],[PAL]],Table2[#All],4,FALSE)*Table112[[#This Row],[PAL]]</f>
        <v>0</v>
      </c>
      <c r="AB29">
        <f>VLOOKUP(Table15[[#Headers],[PHO]],Table2[#All],4,FALSE)*Table112[[#This Row],[PHO]]</f>
        <v>0</v>
      </c>
      <c r="AC29">
        <f>VLOOKUP(Table15[[#Headers],[PLA]],Table2[#All],4,FALSE)*Table112[[#This Row],[PLA]]</f>
        <v>0</v>
      </c>
      <c r="AD29">
        <f>VLOOKUP(Table15[[#Headers],[POT]],Table2[#All],4,FALSE)*Table112[[#This Row],[POT]]</f>
        <v>0</v>
      </c>
      <c r="AE29">
        <f>VLOOKUP(Table15[[#Headers],[RHE]],Table2[#All],4,FALSE)*Table112[[#This Row],[RHE]]</f>
        <v>0.8</v>
      </c>
      <c r="AF29">
        <f>VLOOKUP(Table15[[#Headers],[RHO]],Table2[#All],4,FALSE)*Table112[[#This Row],[RHO]]</f>
        <v>0</v>
      </c>
      <c r="AG29">
        <f>VLOOKUP(Table15[[#Headers],[RUB]],Table2[#All],4,FALSE)*Table112[[#This Row],[RUB]]</f>
        <v>0</v>
      </c>
      <c r="AH29">
        <f>VLOOKUP(Table15[[#Headers],[RUT]],Table2[#All],4,FALSE)*Table112[[#This Row],[RUT]]</f>
        <v>0</v>
      </c>
      <c r="AI29">
        <f>VLOOKUP(Table15[[#Headers],[SCA]],Table2[#All],4,FALSE)*Table112[[#This Row],[SCA]]</f>
        <v>0</v>
      </c>
      <c r="AJ29">
        <f>VLOOKUP(Table15[[#Headers],[SIL]],Table2[#All],4,FALSE)*Table112[[#This Row],[SIL]]</f>
        <v>0</v>
      </c>
      <c r="AK29">
        <f>VLOOKUP(Table15[[#Headers],[SLV]],Table2[#All],4,FALSE)*Table112[[#This Row],[SLV]]</f>
        <v>0.66666666666666663</v>
      </c>
      <c r="AL29">
        <f>VLOOKUP(Table15[[#Headers],[TAN]],Table2[#All],4,FALSE)*Table112[[#This Row],[TAN]]</f>
        <v>0</v>
      </c>
      <c r="AM29">
        <f>VLOOKUP(Table15[[#Headers],[TEL]],Table2[#All],4,FALSE)*Table112[[#This Row],[TEL]]</f>
        <v>0</v>
      </c>
      <c r="AN29">
        <f>VLOOKUP(Table15[[#Headers],[TIN]],Table2[#All],4,FALSE)*Table112[[#This Row],[TIN]]</f>
        <v>0</v>
      </c>
      <c r="AO29">
        <f>VLOOKUP(Table15[[#Headers],[TIT]],Table2[#All],4,FALSE)*Table112[[#This Row],[TIT]]</f>
        <v>0</v>
      </c>
      <c r="AP29">
        <f>VLOOKUP(Table15[[#Headers],[TUN]],Table2[#All],4,FALSE)*Table112[[#This Row],[TUN]]</f>
        <v>0</v>
      </c>
      <c r="AQ29">
        <f>VLOOKUP(Table15[[#Headers],[URA]],Table2[#All],4,FALSE)*Table112[[#This Row],[URA]]</f>
        <v>0</v>
      </c>
      <c r="AR29">
        <f>VLOOKUP(Table15[[#Headers],[VAN]],Table2[#All],4,FALSE)*Table112[[#This Row],[VAN]]</f>
        <v>0</v>
      </c>
      <c r="AS29">
        <f>VLOOKUP(Table15[[#Headers],[ZIN]],Table2[#All],4,FALSE)*Table112[[#This Row],[ZIN]]</f>
        <v>0</v>
      </c>
      <c r="AT29">
        <f>VLOOKUP(Table15[[#Headers],[ZIR]],Table2[#All],4,FALSE)*Table112[[#This Row],[ZIR]]</f>
        <v>0</v>
      </c>
      <c r="AU29">
        <f>VLOOKUP(Table15[[#Headers],[REE]],Table2[#All],4,FALSE)*Table112[[#This Row],[REE]]</f>
        <v>0</v>
      </c>
      <c r="AV29">
        <f t="shared" si="0"/>
        <v>2.2666666666666666</v>
      </c>
    </row>
    <row r="30" spans="1:48">
      <c r="A30" t="s">
        <v>650</v>
      </c>
      <c r="B30">
        <f>VLOOKUP(Table15[[#Headers],[ALU]],Table2[#All],4,FALSE)*Table112[[#This Row],[ALU]]</f>
        <v>0</v>
      </c>
      <c r="C30">
        <f>VLOOKUP(Table15[[#Headers],[ANT]],Table2[#All],4,FALSE)*Table112[[#This Row],[ANT]]</f>
        <v>0</v>
      </c>
      <c r="D30">
        <f>VLOOKUP(Table15[[#Headers],[ARS]],Table2[#All],4,FALSE)</f>
        <v>0.8</v>
      </c>
      <c r="E30">
        <f>VLOOKUP(Table15[[#Headers],[BAR]],Table2[#All],4,FALSE)*Table112[[#This Row],[BAR]]</f>
        <v>0</v>
      </c>
      <c r="F30">
        <f>VLOOKUP(Table15[[#Headers],[BER]],Table2[#All],4,FALSE)*Table112[[#This Row],[BER]]</f>
        <v>0</v>
      </c>
      <c r="G30">
        <f>VLOOKUP(Table15[[#Headers],[BIS]],Table2[#All],4,FALSE)*Table112[[#This Row],[BIS]]</f>
        <v>0</v>
      </c>
      <c r="H30">
        <f>VLOOKUP(Table15[[#Headers],[BOR]],Table2[#All],4,FALSE)*Table112[[#This Row],[BOR]]</f>
        <v>0</v>
      </c>
      <c r="I30">
        <f>VLOOKUP(Table15[[#Headers],[CES]],Table2[#All],4,FALSE)*Table112[[#This Row],[CES]]</f>
        <v>0</v>
      </c>
      <c r="J30">
        <f>VLOOKUP(Table15[[#Headers],[CHR]],Table2[#All],4,FALSE)*Table112[[#This Row],[CHR]]</f>
        <v>0</v>
      </c>
      <c r="K30">
        <f>VLOOKUP(Table15[[#Headers],[COB]],Table2[#All],4,FALSE)*Table112[[#This Row],[COB]]</f>
        <v>0</v>
      </c>
      <c r="L30">
        <f>VLOOKUP(Table15[[#Headers],[COP]],Table2[#All],4,FALSE)*Table112[[#This Row],[COP]]</f>
        <v>0</v>
      </c>
      <c r="M30">
        <f>VLOOKUP(Table15[[#Headers],[FLU]],Table2[#All],4,FALSE)*Table112[[#This Row],[FLU]]</f>
        <v>0</v>
      </c>
      <c r="N30">
        <f>VLOOKUP(Table15[[#Headers],[GAL]],Table2[#All],4,FALSE)*Table112[[#This Row],[GAL]]</f>
        <v>0</v>
      </c>
      <c r="O30">
        <f>VLOOKUP(Table15[[#Headers],[GER]],Table2[#All],4,FALSE)*Table112[[#This Row],[GER]]</f>
        <v>0</v>
      </c>
      <c r="P30">
        <f>VLOOKUP(Table15[[#Headers],[GRA]],Table2[#All],4,FALSE)*Table112[[#This Row],[GRA]]</f>
        <v>0</v>
      </c>
      <c r="Q30">
        <f>VLOOKUP(Table15[[#Headers],[HAF]],Table2[#All],4,FALSE)*Table112[[#This Row],[HAF]]</f>
        <v>0</v>
      </c>
      <c r="R30">
        <f>VLOOKUP(Table15[[#Headers],[IND]],Table2[#All],4,FALSE)*Table112[[#This Row],[IND]]</f>
        <v>0</v>
      </c>
      <c r="S30">
        <f>VLOOKUP(Table15[[#Headers],[IRI]],Table2[#All],4,FALSE)*Table112[[#This Row],[IRI]]</f>
        <v>0</v>
      </c>
      <c r="T30">
        <f>VLOOKUP(Table15[[#Headers],[LED]],Table2[#All],4,FALSE)*Table112[[#This Row],[LED]]</f>
        <v>0</v>
      </c>
      <c r="U30">
        <f>VLOOKUP(Table15[[#Headers],[LIT]],Table2[#All],4,FALSE)*Table112[[#This Row],[LIT]]</f>
        <v>0</v>
      </c>
      <c r="V30">
        <f>VLOOKUP(Table15[[#Headers],[MAG]],Table2[#All],4,FALSE)*Table112[[#This Row],[MAG]]</f>
        <v>0</v>
      </c>
      <c r="W30">
        <f>VLOOKUP(Table15[[#Headers],[MAN]],Table2[#All],4,FALSE)*Table112[[#This Row],[MAN]]</f>
        <v>0</v>
      </c>
      <c r="X30">
        <f>VLOOKUP(Table15[[#Headers],[MCO]],Table2[#All],4,FALSE)*Table112[[#This Row],[MCO]]</f>
        <v>0</v>
      </c>
      <c r="Y30">
        <f>VLOOKUP(Table15[[#Headers],[NIC]],Table2[#All],4,FALSE)*Table112[[#This Row],[NIC]]</f>
        <v>0</v>
      </c>
      <c r="Z30">
        <f>VLOOKUP(Table15[[#Headers],[NIO]],Table2[#All],4,FALSE)*Table112[[#This Row],[NIO]]</f>
        <v>0</v>
      </c>
      <c r="AA30">
        <f>VLOOKUP(Table15[[#Headers],[PAL]],Table2[#All],4,FALSE)*Table112[[#This Row],[PAL]]</f>
        <v>0</v>
      </c>
      <c r="AB30">
        <f>VLOOKUP(Table15[[#Headers],[PHO]],Table2[#All],4,FALSE)*Table112[[#This Row],[PHO]]</f>
        <v>0</v>
      </c>
      <c r="AC30">
        <f>VLOOKUP(Table15[[#Headers],[PLA]],Table2[#All],4,FALSE)*Table112[[#This Row],[PLA]]</f>
        <v>0</v>
      </c>
      <c r="AD30">
        <f>VLOOKUP(Table15[[#Headers],[POT]],Table2[#All],4,FALSE)*Table112[[#This Row],[POT]]</f>
        <v>0</v>
      </c>
      <c r="AE30">
        <f>VLOOKUP(Table15[[#Headers],[RHE]],Table2[#All],4,FALSE)*Table112[[#This Row],[RHE]]</f>
        <v>0</v>
      </c>
      <c r="AF30">
        <f>VLOOKUP(Table15[[#Headers],[RHO]],Table2[#All],4,FALSE)*Table112[[#This Row],[RHO]]</f>
        <v>0</v>
      </c>
      <c r="AG30">
        <f>VLOOKUP(Table15[[#Headers],[RUB]],Table2[#All],4,FALSE)*Table112[[#This Row],[RUB]]</f>
        <v>0</v>
      </c>
      <c r="AH30">
        <f>VLOOKUP(Table15[[#Headers],[RUT]],Table2[#All],4,FALSE)*Table112[[#This Row],[RUT]]</f>
        <v>0</v>
      </c>
      <c r="AI30">
        <f>VLOOKUP(Table15[[#Headers],[SCA]],Table2[#All],4,FALSE)*Table112[[#This Row],[SCA]]</f>
        <v>0</v>
      </c>
      <c r="AJ30">
        <f>VLOOKUP(Table15[[#Headers],[SIL]],Table2[#All],4,FALSE)*Table112[[#This Row],[SIL]]</f>
        <v>0</v>
      </c>
      <c r="AK30">
        <f>VLOOKUP(Table15[[#Headers],[SLV]],Table2[#All],4,FALSE)*Table112[[#This Row],[SLV]]</f>
        <v>0</v>
      </c>
      <c r="AL30">
        <f>VLOOKUP(Table15[[#Headers],[TAN]],Table2[#All],4,FALSE)*Table112[[#This Row],[TAN]]</f>
        <v>0.8</v>
      </c>
      <c r="AM30">
        <f>VLOOKUP(Table15[[#Headers],[TEL]],Table2[#All],4,FALSE)*Table112[[#This Row],[TEL]]</f>
        <v>0</v>
      </c>
      <c r="AN30">
        <f>VLOOKUP(Table15[[#Headers],[TIN]],Table2[#All],4,FALSE)*Table112[[#This Row],[TIN]]</f>
        <v>0</v>
      </c>
      <c r="AO30">
        <f>VLOOKUP(Table15[[#Headers],[TIT]],Table2[#All],4,FALSE)*Table112[[#This Row],[TIT]]</f>
        <v>0</v>
      </c>
      <c r="AP30">
        <f>VLOOKUP(Table15[[#Headers],[TUN]],Table2[#All],4,FALSE)*Table112[[#This Row],[TUN]]</f>
        <v>0.8</v>
      </c>
      <c r="AQ30">
        <f>VLOOKUP(Table15[[#Headers],[URA]],Table2[#All],4,FALSE)*Table112[[#This Row],[URA]]</f>
        <v>0</v>
      </c>
      <c r="AR30">
        <f>VLOOKUP(Table15[[#Headers],[VAN]],Table2[#All],4,FALSE)*Table112[[#This Row],[VAN]]</f>
        <v>0</v>
      </c>
      <c r="AS30">
        <f>VLOOKUP(Table15[[#Headers],[ZIN]],Table2[#All],4,FALSE)*Table112[[#This Row],[ZIN]]</f>
        <v>0</v>
      </c>
      <c r="AT30">
        <f>VLOOKUP(Table15[[#Headers],[ZIR]],Table2[#All],4,FALSE)*Table112[[#This Row],[ZIR]]</f>
        <v>0</v>
      </c>
      <c r="AU30">
        <f>VLOOKUP(Table15[[#Headers],[REE]],Table2[#All],4,FALSE)*Table112[[#This Row],[REE]]</f>
        <v>0</v>
      </c>
      <c r="AV30">
        <f t="shared" si="0"/>
        <v>2.4000000000000004</v>
      </c>
    </row>
    <row r="31" spans="1:48">
      <c r="A31" t="s">
        <v>694</v>
      </c>
      <c r="B31">
        <f>VLOOKUP(Table15[[#Headers],[ALU]],Table2[#All],4,FALSE)*Table112[[#This Row],[ALU]]</f>
        <v>0</v>
      </c>
      <c r="C31">
        <f>VLOOKUP(Table15[[#Headers],[ANT]],Table2[#All],4,FALSE)*Table112[[#This Row],[ANT]]</f>
        <v>0</v>
      </c>
      <c r="D31">
        <f>VLOOKUP(Table15[[#Headers],[ARS]],Table2[#All],4,FALSE)</f>
        <v>0.8</v>
      </c>
      <c r="E31">
        <f>VLOOKUP(Table15[[#Headers],[BAR]],Table2[#All],4,FALSE)*Table112[[#This Row],[BAR]]</f>
        <v>0</v>
      </c>
      <c r="F31">
        <f>VLOOKUP(Table15[[#Headers],[BER]],Table2[#All],4,FALSE)*Table112[[#This Row],[BER]]</f>
        <v>0</v>
      </c>
      <c r="G31">
        <f>VLOOKUP(Table15[[#Headers],[BIS]],Table2[#All],4,FALSE)*Table112[[#This Row],[BIS]]</f>
        <v>0</v>
      </c>
      <c r="H31">
        <f>VLOOKUP(Table15[[#Headers],[BOR]],Table2[#All],4,FALSE)*Table112[[#This Row],[BOR]]</f>
        <v>0</v>
      </c>
      <c r="I31">
        <f>VLOOKUP(Table15[[#Headers],[CES]],Table2[#All],4,FALSE)*Table112[[#This Row],[CES]]</f>
        <v>0</v>
      </c>
      <c r="J31">
        <f>VLOOKUP(Table15[[#Headers],[CHR]],Table2[#All],4,FALSE)*Table112[[#This Row],[CHR]]</f>
        <v>0</v>
      </c>
      <c r="K31">
        <f>VLOOKUP(Table15[[#Headers],[COB]],Table2[#All],4,FALSE)*Table112[[#This Row],[COB]]</f>
        <v>0</v>
      </c>
      <c r="L31">
        <f>VLOOKUP(Table15[[#Headers],[COP]],Table2[#All],4,FALSE)*Table112[[#This Row],[COP]]</f>
        <v>0</v>
      </c>
      <c r="M31">
        <f>VLOOKUP(Table15[[#Headers],[FLU]],Table2[#All],4,FALSE)*Table112[[#This Row],[FLU]]</f>
        <v>0</v>
      </c>
      <c r="N31">
        <f>VLOOKUP(Table15[[#Headers],[GAL]],Table2[#All],4,FALSE)*Table112[[#This Row],[GAL]]</f>
        <v>0</v>
      </c>
      <c r="O31">
        <f>VLOOKUP(Table15[[#Headers],[GER]],Table2[#All],4,FALSE)*Table112[[#This Row],[GER]]</f>
        <v>0</v>
      </c>
      <c r="P31">
        <f>VLOOKUP(Table15[[#Headers],[GRA]],Table2[#All],4,FALSE)*Table112[[#This Row],[GRA]]</f>
        <v>0.66666666666666663</v>
      </c>
      <c r="Q31">
        <f>VLOOKUP(Table15[[#Headers],[HAF]],Table2[#All],4,FALSE)*Table112[[#This Row],[HAF]]</f>
        <v>0</v>
      </c>
      <c r="R31">
        <f>VLOOKUP(Table15[[#Headers],[IND]],Table2[#All],4,FALSE)*Table112[[#This Row],[IND]]</f>
        <v>0</v>
      </c>
      <c r="S31">
        <f>VLOOKUP(Table15[[#Headers],[IRI]],Table2[#All],4,FALSE)*Table112[[#This Row],[IRI]]</f>
        <v>0</v>
      </c>
      <c r="T31">
        <f>VLOOKUP(Table15[[#Headers],[LED]],Table2[#All],4,FALSE)*Table112[[#This Row],[LED]]</f>
        <v>0</v>
      </c>
      <c r="U31">
        <f>VLOOKUP(Table15[[#Headers],[LIT]],Table2[#All],4,FALSE)*Table112[[#This Row],[LIT]]</f>
        <v>0</v>
      </c>
      <c r="V31">
        <f>VLOOKUP(Table15[[#Headers],[MAG]],Table2[#All],4,FALSE)*Table112[[#This Row],[MAG]]</f>
        <v>0</v>
      </c>
      <c r="W31">
        <f>VLOOKUP(Table15[[#Headers],[MAN]],Table2[#All],4,FALSE)*Table112[[#This Row],[MAN]]</f>
        <v>0</v>
      </c>
      <c r="X31">
        <f>VLOOKUP(Table15[[#Headers],[MCO]],Table2[#All],4,FALSE)*Table112[[#This Row],[MCO]]</f>
        <v>0</v>
      </c>
      <c r="Y31">
        <f>VLOOKUP(Table15[[#Headers],[NIC]],Table2[#All],4,FALSE)*Table112[[#This Row],[NIC]]</f>
        <v>0</v>
      </c>
      <c r="Z31">
        <f>VLOOKUP(Table15[[#Headers],[NIO]],Table2[#All],4,FALSE)*Table112[[#This Row],[NIO]]</f>
        <v>0</v>
      </c>
      <c r="AA31">
        <f>VLOOKUP(Table15[[#Headers],[PAL]],Table2[#All],4,FALSE)*Table112[[#This Row],[PAL]]</f>
        <v>0</v>
      </c>
      <c r="AB31">
        <f>VLOOKUP(Table15[[#Headers],[PHO]],Table2[#All],4,FALSE)*Table112[[#This Row],[PHO]]</f>
        <v>0</v>
      </c>
      <c r="AC31">
        <f>VLOOKUP(Table15[[#Headers],[PLA]],Table2[#All],4,FALSE)*Table112[[#This Row],[PLA]]</f>
        <v>0</v>
      </c>
      <c r="AD31">
        <f>VLOOKUP(Table15[[#Headers],[POT]],Table2[#All],4,FALSE)*Table112[[#This Row],[POT]]</f>
        <v>0</v>
      </c>
      <c r="AE31">
        <f>VLOOKUP(Table15[[#Headers],[RHE]],Table2[#All],4,FALSE)*Table112[[#This Row],[RHE]]</f>
        <v>0</v>
      </c>
      <c r="AF31">
        <f>VLOOKUP(Table15[[#Headers],[RHO]],Table2[#All],4,FALSE)*Table112[[#This Row],[RHO]]</f>
        <v>0</v>
      </c>
      <c r="AG31">
        <f>VLOOKUP(Table15[[#Headers],[RUB]],Table2[#All],4,FALSE)*Table112[[#This Row],[RUB]]</f>
        <v>0</v>
      </c>
      <c r="AH31">
        <f>VLOOKUP(Table15[[#Headers],[RUT]],Table2[#All],4,FALSE)*Table112[[#This Row],[RUT]]</f>
        <v>0</v>
      </c>
      <c r="AI31">
        <f>VLOOKUP(Table15[[#Headers],[SCA]],Table2[#All],4,FALSE)*Table112[[#This Row],[SCA]]</f>
        <v>0</v>
      </c>
      <c r="AJ31">
        <f>VLOOKUP(Table15[[#Headers],[SIL]],Table2[#All],4,FALSE)*Table112[[#This Row],[SIL]]</f>
        <v>0</v>
      </c>
      <c r="AK31">
        <f>VLOOKUP(Table15[[#Headers],[SLV]],Table2[#All],4,FALSE)*Table112[[#This Row],[SLV]]</f>
        <v>0</v>
      </c>
      <c r="AL31">
        <f>VLOOKUP(Table15[[#Headers],[TAN]],Table2[#All],4,FALSE)*Table112[[#This Row],[TAN]]</f>
        <v>0</v>
      </c>
      <c r="AM31">
        <f>VLOOKUP(Table15[[#Headers],[TEL]],Table2[#All],4,FALSE)*Table112[[#This Row],[TEL]]</f>
        <v>0</v>
      </c>
      <c r="AN31">
        <f>VLOOKUP(Table15[[#Headers],[TIN]],Table2[#All],4,FALSE)*Table112[[#This Row],[TIN]]</f>
        <v>0</v>
      </c>
      <c r="AO31">
        <f>VLOOKUP(Table15[[#Headers],[TIT]],Table2[#All],4,FALSE)*Table112[[#This Row],[TIT]]</f>
        <v>0</v>
      </c>
      <c r="AP31">
        <f>VLOOKUP(Table15[[#Headers],[TUN]],Table2[#All],4,FALSE)*Table112[[#This Row],[TUN]]</f>
        <v>0</v>
      </c>
      <c r="AQ31">
        <f>VLOOKUP(Table15[[#Headers],[URA]],Table2[#All],4,FALSE)*Table112[[#This Row],[URA]]</f>
        <v>0</v>
      </c>
      <c r="AR31">
        <f>VLOOKUP(Table15[[#Headers],[VAN]],Table2[#All],4,FALSE)*Table112[[#This Row],[VAN]]</f>
        <v>0</v>
      </c>
      <c r="AS31">
        <f>VLOOKUP(Table15[[#Headers],[ZIN]],Table2[#All],4,FALSE)*Table112[[#This Row],[ZIN]]</f>
        <v>0</v>
      </c>
      <c r="AT31">
        <f>VLOOKUP(Table15[[#Headers],[ZIR]],Table2[#All],4,FALSE)*Table112[[#This Row],[ZIR]]</f>
        <v>0</v>
      </c>
      <c r="AU31">
        <f>VLOOKUP(Table15[[#Headers],[REE]],Table2[#All],4,FALSE)*Table112[[#This Row],[REE]]</f>
        <v>0.30769230769230771</v>
      </c>
      <c r="AV31">
        <f t="shared" si="0"/>
        <v>1.7743589743589745</v>
      </c>
    </row>
    <row r="32" spans="1:48">
      <c r="A32" t="s">
        <v>655</v>
      </c>
      <c r="B32">
        <f>VLOOKUP(Table15[[#Headers],[ALU]],Table2[#All],4,FALSE)*Table112[[#This Row],[ALU]]</f>
        <v>0</v>
      </c>
      <c r="C32">
        <f>VLOOKUP(Table15[[#Headers],[ANT]],Table2[#All],4,FALSE)*Table112[[#This Row],[ANT]]</f>
        <v>0</v>
      </c>
      <c r="D32">
        <f>VLOOKUP(Table15[[#Headers],[ARS]],Table2[#All],4,FALSE)</f>
        <v>0.8</v>
      </c>
      <c r="E32">
        <f>VLOOKUP(Table15[[#Headers],[BAR]],Table2[#All],4,FALSE)*Table112[[#This Row],[BAR]]</f>
        <v>0</v>
      </c>
      <c r="F32">
        <f>VLOOKUP(Table15[[#Headers],[BER]],Table2[#All],4,FALSE)*Table112[[#This Row],[BER]]</f>
        <v>0</v>
      </c>
      <c r="G32">
        <f>VLOOKUP(Table15[[#Headers],[BIS]],Table2[#All],4,FALSE)*Table112[[#This Row],[BIS]]</f>
        <v>0</v>
      </c>
      <c r="H32">
        <f>VLOOKUP(Table15[[#Headers],[BOR]],Table2[#All],4,FALSE)*Table112[[#This Row],[BOR]]</f>
        <v>0</v>
      </c>
      <c r="I32">
        <f>VLOOKUP(Table15[[#Headers],[CES]],Table2[#All],4,FALSE)*Table112[[#This Row],[CES]]</f>
        <v>0</v>
      </c>
      <c r="J32">
        <f>VLOOKUP(Table15[[#Headers],[CHR]],Table2[#All],4,FALSE)*Table112[[#This Row],[CHR]]</f>
        <v>0</v>
      </c>
      <c r="K32">
        <f>VLOOKUP(Table15[[#Headers],[COB]],Table2[#All],4,FALSE)*Table112[[#This Row],[COB]]</f>
        <v>0</v>
      </c>
      <c r="L32">
        <f>VLOOKUP(Table15[[#Headers],[COP]],Table2[#All],4,FALSE)*Table112[[#This Row],[COP]]</f>
        <v>0</v>
      </c>
      <c r="M32">
        <f>VLOOKUP(Table15[[#Headers],[FLU]],Table2[#All],4,FALSE)*Table112[[#This Row],[FLU]]</f>
        <v>0</v>
      </c>
      <c r="N32">
        <f>VLOOKUP(Table15[[#Headers],[GAL]],Table2[#All],4,FALSE)*Table112[[#This Row],[GAL]]</f>
        <v>0.8</v>
      </c>
      <c r="O32">
        <f>VLOOKUP(Table15[[#Headers],[GER]],Table2[#All],4,FALSE)*Table112[[#This Row],[GER]]</f>
        <v>0</v>
      </c>
      <c r="P32">
        <f>VLOOKUP(Table15[[#Headers],[GRA]],Table2[#All],4,FALSE)*Table112[[#This Row],[GRA]]</f>
        <v>0</v>
      </c>
      <c r="Q32">
        <f>VLOOKUP(Table15[[#Headers],[HAF]],Table2[#All],4,FALSE)*Table112[[#This Row],[HAF]]</f>
        <v>0</v>
      </c>
      <c r="R32">
        <f>VLOOKUP(Table15[[#Headers],[IND]],Table2[#All],4,FALSE)*Table112[[#This Row],[IND]]</f>
        <v>0</v>
      </c>
      <c r="S32">
        <f>VLOOKUP(Table15[[#Headers],[IRI]],Table2[#All],4,FALSE)*Table112[[#This Row],[IRI]]</f>
        <v>0</v>
      </c>
      <c r="T32">
        <f>VLOOKUP(Table15[[#Headers],[LED]],Table2[#All],4,FALSE)*Table112[[#This Row],[LED]]</f>
        <v>0</v>
      </c>
      <c r="U32">
        <f>VLOOKUP(Table15[[#Headers],[LIT]],Table2[#All],4,FALSE)*Table112[[#This Row],[LIT]]</f>
        <v>0</v>
      </c>
      <c r="V32">
        <f>VLOOKUP(Table15[[#Headers],[MAG]],Table2[#All],4,FALSE)*Table112[[#This Row],[MAG]]</f>
        <v>0</v>
      </c>
      <c r="W32">
        <f>VLOOKUP(Table15[[#Headers],[MAN]],Table2[#All],4,FALSE)*Table112[[#This Row],[MAN]]</f>
        <v>0.8</v>
      </c>
      <c r="X32">
        <f>VLOOKUP(Table15[[#Headers],[MCO]],Table2[#All],4,FALSE)*Table112[[#This Row],[MCO]]</f>
        <v>0</v>
      </c>
      <c r="Y32">
        <f>VLOOKUP(Table15[[#Headers],[NIC]],Table2[#All],4,FALSE)*Table112[[#This Row],[NIC]]</f>
        <v>0</v>
      </c>
      <c r="Z32">
        <f>VLOOKUP(Table15[[#Headers],[NIO]],Table2[#All],4,FALSE)*Table112[[#This Row],[NIO]]</f>
        <v>0</v>
      </c>
      <c r="AA32">
        <f>VLOOKUP(Table15[[#Headers],[PAL]],Table2[#All],4,FALSE)*Table112[[#This Row],[PAL]]</f>
        <v>0</v>
      </c>
      <c r="AB32">
        <f>VLOOKUP(Table15[[#Headers],[PHO]],Table2[#All],4,FALSE)*Table112[[#This Row],[PHO]]</f>
        <v>0</v>
      </c>
      <c r="AC32">
        <f>VLOOKUP(Table15[[#Headers],[PLA]],Table2[#All],4,FALSE)*Table112[[#This Row],[PLA]]</f>
        <v>0</v>
      </c>
      <c r="AD32">
        <f>VLOOKUP(Table15[[#Headers],[POT]],Table2[#All],4,FALSE)*Table112[[#This Row],[POT]]</f>
        <v>0</v>
      </c>
      <c r="AE32">
        <f>VLOOKUP(Table15[[#Headers],[RHE]],Table2[#All],4,FALSE)*Table112[[#This Row],[RHE]]</f>
        <v>0</v>
      </c>
      <c r="AF32">
        <f>VLOOKUP(Table15[[#Headers],[RHO]],Table2[#All],4,FALSE)*Table112[[#This Row],[RHO]]</f>
        <v>0</v>
      </c>
      <c r="AG32">
        <f>VLOOKUP(Table15[[#Headers],[RUB]],Table2[#All],4,FALSE)*Table112[[#This Row],[RUB]]</f>
        <v>0</v>
      </c>
      <c r="AH32">
        <f>VLOOKUP(Table15[[#Headers],[RUT]],Table2[#All],4,FALSE)*Table112[[#This Row],[RUT]]</f>
        <v>0</v>
      </c>
      <c r="AI32">
        <f>VLOOKUP(Table15[[#Headers],[SCA]],Table2[#All],4,FALSE)*Table112[[#This Row],[SCA]]</f>
        <v>0</v>
      </c>
      <c r="AJ32">
        <f>VLOOKUP(Table15[[#Headers],[SIL]],Table2[#All],4,FALSE)*Table112[[#This Row],[SIL]]</f>
        <v>0</v>
      </c>
      <c r="AK32">
        <f>VLOOKUP(Table15[[#Headers],[SLV]],Table2[#All],4,FALSE)*Table112[[#This Row],[SLV]]</f>
        <v>0</v>
      </c>
      <c r="AL32">
        <f>VLOOKUP(Table15[[#Headers],[TAN]],Table2[#All],4,FALSE)*Table112[[#This Row],[TAN]]</f>
        <v>0</v>
      </c>
      <c r="AM32">
        <f>VLOOKUP(Table15[[#Headers],[TEL]],Table2[#All],4,FALSE)*Table112[[#This Row],[TEL]]</f>
        <v>0</v>
      </c>
      <c r="AN32">
        <f>VLOOKUP(Table15[[#Headers],[TIN]],Table2[#All],4,FALSE)*Table112[[#This Row],[TIN]]</f>
        <v>0</v>
      </c>
      <c r="AO32">
        <f>VLOOKUP(Table15[[#Headers],[TIT]],Table2[#All],4,FALSE)*Table112[[#This Row],[TIT]]</f>
        <v>0</v>
      </c>
      <c r="AP32">
        <f>VLOOKUP(Table15[[#Headers],[TUN]],Table2[#All],4,FALSE)*Table112[[#This Row],[TUN]]</f>
        <v>0</v>
      </c>
      <c r="AQ32">
        <f>VLOOKUP(Table15[[#Headers],[URA]],Table2[#All],4,FALSE)*Table112[[#This Row],[URA]]</f>
        <v>0</v>
      </c>
      <c r="AR32">
        <f>VLOOKUP(Table15[[#Headers],[VAN]],Table2[#All],4,FALSE)*Table112[[#This Row],[VAN]]</f>
        <v>0</v>
      </c>
      <c r="AS32">
        <f>VLOOKUP(Table15[[#Headers],[ZIN]],Table2[#All],4,FALSE)*Table112[[#This Row],[ZIN]]</f>
        <v>0</v>
      </c>
      <c r="AT32">
        <f>VLOOKUP(Table15[[#Headers],[ZIR]],Table2[#All],4,FALSE)*Table112[[#This Row],[ZIR]]</f>
        <v>0</v>
      </c>
      <c r="AU32">
        <f>VLOOKUP(Table15[[#Headers],[REE]],Table2[#All],4,FALSE)*Table112[[#This Row],[REE]]</f>
        <v>0</v>
      </c>
      <c r="AV32">
        <f t="shared" si="0"/>
        <v>2.4000000000000004</v>
      </c>
    </row>
    <row r="33" spans="1:48">
      <c r="A33" t="s">
        <v>574</v>
      </c>
      <c r="B33">
        <f>VLOOKUP(Table15[[#Headers],[ALU]],Table2[#All],4,FALSE)*Table112[[#This Row],[ALU]]</f>
        <v>0</v>
      </c>
      <c r="C33">
        <f>VLOOKUP(Table15[[#Headers],[ANT]],Table2[#All],4,FALSE)*Table112[[#This Row],[ANT]]</f>
        <v>0</v>
      </c>
      <c r="D33">
        <f>VLOOKUP(Table15[[#Headers],[ARS]],Table2[#All],4,FALSE)</f>
        <v>0.8</v>
      </c>
      <c r="E33">
        <f>VLOOKUP(Table15[[#Headers],[BAR]],Table2[#All],4,FALSE)*Table112[[#This Row],[BAR]]</f>
        <v>0</v>
      </c>
      <c r="F33">
        <f>VLOOKUP(Table15[[#Headers],[BER]],Table2[#All],4,FALSE)*Table112[[#This Row],[BER]]</f>
        <v>0</v>
      </c>
      <c r="G33">
        <f>VLOOKUP(Table15[[#Headers],[BIS]],Table2[#All],4,FALSE)*Table112[[#This Row],[BIS]]</f>
        <v>0</v>
      </c>
      <c r="H33">
        <f>VLOOKUP(Table15[[#Headers],[BOR]],Table2[#All],4,FALSE)*Table112[[#This Row],[BOR]]</f>
        <v>0</v>
      </c>
      <c r="I33">
        <f>VLOOKUP(Table15[[#Headers],[CES]],Table2[#All],4,FALSE)*Table112[[#This Row],[CES]]</f>
        <v>0</v>
      </c>
      <c r="J33">
        <f>VLOOKUP(Table15[[#Headers],[CHR]],Table2[#All],4,FALSE)*Table112[[#This Row],[CHR]]</f>
        <v>0</v>
      </c>
      <c r="K33">
        <f>VLOOKUP(Table15[[#Headers],[COB]],Table2[#All],4,FALSE)*Table112[[#This Row],[COB]]</f>
        <v>0</v>
      </c>
      <c r="L33">
        <f>VLOOKUP(Table15[[#Headers],[COP]],Table2[#All],4,FALSE)*Table112[[#This Row],[COP]]</f>
        <v>0</v>
      </c>
      <c r="M33">
        <f>VLOOKUP(Table15[[#Headers],[FLU]],Table2[#All],4,FALSE)*Table112[[#This Row],[FLU]]</f>
        <v>0</v>
      </c>
      <c r="N33">
        <f>VLOOKUP(Table15[[#Headers],[GAL]],Table2[#All],4,FALSE)*Table112[[#This Row],[GAL]]</f>
        <v>0</v>
      </c>
      <c r="O33">
        <f>VLOOKUP(Table15[[#Headers],[GER]],Table2[#All],4,FALSE)*Table112[[#This Row],[GER]]</f>
        <v>0</v>
      </c>
      <c r="P33">
        <f>VLOOKUP(Table15[[#Headers],[GRA]],Table2[#All],4,FALSE)*Table112[[#This Row],[GRA]]</f>
        <v>0</v>
      </c>
      <c r="Q33">
        <f>VLOOKUP(Table15[[#Headers],[HAF]],Table2[#All],4,FALSE)*Table112[[#This Row],[HAF]]</f>
        <v>0</v>
      </c>
      <c r="R33">
        <f>VLOOKUP(Table15[[#Headers],[IND]],Table2[#All],4,FALSE)*Table112[[#This Row],[IND]]</f>
        <v>0</v>
      </c>
      <c r="S33">
        <f>VLOOKUP(Table15[[#Headers],[IRI]],Table2[#All],4,FALSE)*Table112[[#This Row],[IRI]]</f>
        <v>0</v>
      </c>
      <c r="T33">
        <f>VLOOKUP(Table15[[#Headers],[LED]],Table2[#All],4,FALSE)*Table112[[#This Row],[LED]]</f>
        <v>0</v>
      </c>
      <c r="U33">
        <f>VLOOKUP(Table15[[#Headers],[LIT]],Table2[#All],4,FALSE)*Table112[[#This Row],[LIT]]</f>
        <v>0</v>
      </c>
      <c r="V33">
        <f>VLOOKUP(Table15[[#Headers],[MAG]],Table2[#All],4,FALSE)*Table112[[#This Row],[MAG]]</f>
        <v>0</v>
      </c>
      <c r="W33">
        <f>VLOOKUP(Table15[[#Headers],[MAN]],Table2[#All],4,FALSE)*Table112[[#This Row],[MAN]]</f>
        <v>0</v>
      </c>
      <c r="X33">
        <f>VLOOKUP(Table15[[#Headers],[MCO]],Table2[#All],4,FALSE)*Table112[[#This Row],[MCO]]</f>
        <v>0</v>
      </c>
      <c r="Y33">
        <f>VLOOKUP(Table15[[#Headers],[NIC]],Table2[#All],4,FALSE)*Table112[[#This Row],[NIC]]</f>
        <v>0</v>
      </c>
      <c r="Z33">
        <f>VLOOKUP(Table15[[#Headers],[NIO]],Table2[#All],4,FALSE)*Table112[[#This Row],[NIO]]</f>
        <v>0</v>
      </c>
      <c r="AA33">
        <f>VLOOKUP(Table15[[#Headers],[PAL]],Table2[#All],4,FALSE)*Table112[[#This Row],[PAL]]</f>
        <v>0</v>
      </c>
      <c r="AB33">
        <f>VLOOKUP(Table15[[#Headers],[PHO]],Table2[#All],4,FALSE)*Table112[[#This Row],[PHO]]</f>
        <v>0</v>
      </c>
      <c r="AC33">
        <f>VLOOKUP(Table15[[#Headers],[PLA]],Table2[#All],4,FALSE)*Table112[[#This Row],[PLA]]</f>
        <v>0</v>
      </c>
      <c r="AD33">
        <f>VLOOKUP(Table15[[#Headers],[POT]],Table2[#All],4,FALSE)*Table112[[#This Row],[POT]]</f>
        <v>0.6</v>
      </c>
      <c r="AE33">
        <f>VLOOKUP(Table15[[#Headers],[RHE]],Table2[#All],4,FALSE)*Table112[[#This Row],[RHE]]</f>
        <v>0</v>
      </c>
      <c r="AF33">
        <f>VLOOKUP(Table15[[#Headers],[RHO]],Table2[#All],4,FALSE)*Table112[[#This Row],[RHO]]</f>
        <v>0</v>
      </c>
      <c r="AG33">
        <f>VLOOKUP(Table15[[#Headers],[RUB]],Table2[#All],4,FALSE)*Table112[[#This Row],[RUB]]</f>
        <v>0</v>
      </c>
      <c r="AH33">
        <f>VLOOKUP(Table15[[#Headers],[RUT]],Table2[#All],4,FALSE)*Table112[[#This Row],[RUT]]</f>
        <v>0</v>
      </c>
      <c r="AI33">
        <f>VLOOKUP(Table15[[#Headers],[SCA]],Table2[#All],4,FALSE)*Table112[[#This Row],[SCA]]</f>
        <v>0</v>
      </c>
      <c r="AJ33">
        <f>VLOOKUP(Table15[[#Headers],[SIL]],Table2[#All],4,FALSE)*Table112[[#This Row],[SIL]]</f>
        <v>0</v>
      </c>
      <c r="AK33">
        <f>VLOOKUP(Table15[[#Headers],[SLV]],Table2[#All],4,FALSE)*Table112[[#This Row],[SLV]]</f>
        <v>0</v>
      </c>
      <c r="AL33">
        <f>VLOOKUP(Table15[[#Headers],[TAN]],Table2[#All],4,FALSE)*Table112[[#This Row],[TAN]]</f>
        <v>0</v>
      </c>
      <c r="AM33">
        <f>VLOOKUP(Table15[[#Headers],[TEL]],Table2[#All],4,FALSE)*Table112[[#This Row],[TEL]]</f>
        <v>0</v>
      </c>
      <c r="AN33">
        <f>VLOOKUP(Table15[[#Headers],[TIN]],Table2[#All],4,FALSE)*Table112[[#This Row],[TIN]]</f>
        <v>0</v>
      </c>
      <c r="AO33">
        <f>VLOOKUP(Table15[[#Headers],[TIT]],Table2[#All],4,FALSE)*Table112[[#This Row],[TIT]]</f>
        <v>0</v>
      </c>
      <c r="AP33">
        <f>VLOOKUP(Table15[[#Headers],[TUN]],Table2[#All],4,FALSE)*Table112[[#This Row],[TUN]]</f>
        <v>0</v>
      </c>
      <c r="AQ33">
        <f>VLOOKUP(Table15[[#Headers],[URA]],Table2[#All],4,FALSE)*Table112[[#This Row],[URA]]</f>
        <v>0</v>
      </c>
      <c r="AR33">
        <f>VLOOKUP(Table15[[#Headers],[VAN]],Table2[#All],4,FALSE)*Table112[[#This Row],[VAN]]</f>
        <v>0</v>
      </c>
      <c r="AS33">
        <f>VLOOKUP(Table15[[#Headers],[ZIN]],Table2[#All],4,FALSE)*Table112[[#This Row],[ZIN]]</f>
        <v>0</v>
      </c>
      <c r="AT33">
        <f>VLOOKUP(Table15[[#Headers],[ZIR]],Table2[#All],4,FALSE)*Table112[[#This Row],[ZIR]]</f>
        <v>0</v>
      </c>
      <c r="AU33">
        <f>VLOOKUP(Table15[[#Headers],[REE]],Table2[#All],4,FALSE)*Table112[[#This Row],[REE]]</f>
        <v>0</v>
      </c>
      <c r="AV33">
        <f t="shared" si="0"/>
        <v>1.4</v>
      </c>
    </row>
    <row r="34" spans="1:48">
      <c r="A34" t="s">
        <v>600</v>
      </c>
      <c r="B34">
        <f>VLOOKUP(Table15[[#Headers],[ALU]],Table2[#All],4,FALSE)*Table112[[#This Row],[ALU]]</f>
        <v>0</v>
      </c>
      <c r="C34">
        <f>VLOOKUP(Table15[[#Headers],[ANT]],Table2[#All],4,FALSE)*Table112[[#This Row],[ANT]]</f>
        <v>0</v>
      </c>
      <c r="D34">
        <f>VLOOKUP(Table15[[#Headers],[ARS]],Table2[#All],4,FALSE)</f>
        <v>0.8</v>
      </c>
      <c r="E34">
        <f>VLOOKUP(Table15[[#Headers],[BAR]],Table2[#All],4,FALSE)*Table112[[#This Row],[BAR]]</f>
        <v>0</v>
      </c>
      <c r="F34">
        <f>VLOOKUP(Table15[[#Headers],[BER]],Table2[#All],4,FALSE)*Table112[[#This Row],[BER]]</f>
        <v>0</v>
      </c>
      <c r="G34">
        <f>VLOOKUP(Table15[[#Headers],[BIS]],Table2[#All],4,FALSE)*Table112[[#This Row],[BIS]]</f>
        <v>0</v>
      </c>
      <c r="H34">
        <f>VLOOKUP(Table15[[#Headers],[BOR]],Table2[#All],4,FALSE)*Table112[[#This Row],[BOR]]</f>
        <v>0</v>
      </c>
      <c r="I34">
        <f>VLOOKUP(Table15[[#Headers],[CES]],Table2[#All],4,FALSE)*Table112[[#This Row],[CES]]</f>
        <v>0</v>
      </c>
      <c r="J34">
        <f>VLOOKUP(Table15[[#Headers],[CHR]],Table2[#All],4,FALSE)*Table112[[#This Row],[CHR]]</f>
        <v>0</v>
      </c>
      <c r="K34">
        <f>VLOOKUP(Table15[[#Headers],[COB]],Table2[#All],4,FALSE)*Table112[[#This Row],[COB]]</f>
        <v>0</v>
      </c>
      <c r="L34">
        <f>VLOOKUP(Table15[[#Headers],[COP]],Table2[#All],4,FALSE)*Table112[[#This Row],[COP]]</f>
        <v>0</v>
      </c>
      <c r="M34">
        <f>VLOOKUP(Table15[[#Headers],[FLU]],Table2[#All],4,FALSE)*Table112[[#This Row],[FLU]]</f>
        <v>0</v>
      </c>
      <c r="N34">
        <f>VLOOKUP(Table15[[#Headers],[GAL]],Table2[#All],4,FALSE)*Table112[[#This Row],[GAL]]</f>
        <v>0</v>
      </c>
      <c r="O34">
        <f>VLOOKUP(Table15[[#Headers],[GER]],Table2[#All],4,FALSE)*Table112[[#This Row],[GER]]</f>
        <v>0.8</v>
      </c>
      <c r="P34">
        <f>VLOOKUP(Table15[[#Headers],[GRA]],Table2[#All],4,FALSE)*Table112[[#This Row],[GRA]]</f>
        <v>0</v>
      </c>
      <c r="Q34">
        <f>VLOOKUP(Table15[[#Headers],[HAF]],Table2[#All],4,FALSE)*Table112[[#This Row],[HAF]]</f>
        <v>0</v>
      </c>
      <c r="R34">
        <f>VLOOKUP(Table15[[#Headers],[IND]],Table2[#All],4,FALSE)*Table112[[#This Row],[IND]]</f>
        <v>0</v>
      </c>
      <c r="S34">
        <f>VLOOKUP(Table15[[#Headers],[IRI]],Table2[#All],4,FALSE)*Table112[[#This Row],[IRI]]</f>
        <v>0</v>
      </c>
      <c r="T34">
        <f>VLOOKUP(Table15[[#Headers],[LED]],Table2[#All],4,FALSE)*Table112[[#This Row],[LED]]</f>
        <v>0</v>
      </c>
      <c r="U34">
        <f>VLOOKUP(Table15[[#Headers],[LIT]],Table2[#All],4,FALSE)*Table112[[#This Row],[LIT]]</f>
        <v>0</v>
      </c>
      <c r="V34">
        <f>VLOOKUP(Table15[[#Headers],[MAG]],Table2[#All],4,FALSE)*Table112[[#This Row],[MAG]]</f>
        <v>0</v>
      </c>
      <c r="W34">
        <f>VLOOKUP(Table15[[#Headers],[MAN]],Table2[#All],4,FALSE)*Table112[[#This Row],[MAN]]</f>
        <v>0</v>
      </c>
      <c r="X34">
        <f>VLOOKUP(Table15[[#Headers],[MCO]],Table2[#All],4,FALSE)*Table112[[#This Row],[MCO]]</f>
        <v>0</v>
      </c>
      <c r="Y34">
        <f>VLOOKUP(Table15[[#Headers],[NIC]],Table2[#All],4,FALSE)*Table112[[#This Row],[NIC]]</f>
        <v>0</v>
      </c>
      <c r="Z34">
        <f>VLOOKUP(Table15[[#Headers],[NIO]],Table2[#All],4,FALSE)*Table112[[#This Row],[NIO]]</f>
        <v>0</v>
      </c>
      <c r="AA34">
        <f>VLOOKUP(Table15[[#Headers],[PAL]],Table2[#All],4,FALSE)*Table112[[#This Row],[PAL]]</f>
        <v>0</v>
      </c>
      <c r="AB34">
        <f>VLOOKUP(Table15[[#Headers],[PHO]],Table2[#All],4,FALSE)*Table112[[#This Row],[PHO]]</f>
        <v>0</v>
      </c>
      <c r="AC34">
        <f>VLOOKUP(Table15[[#Headers],[PLA]],Table2[#All],4,FALSE)*Table112[[#This Row],[PLA]]</f>
        <v>0</v>
      </c>
      <c r="AD34">
        <f>VLOOKUP(Table15[[#Headers],[POT]],Table2[#All],4,FALSE)*Table112[[#This Row],[POT]]</f>
        <v>0</v>
      </c>
      <c r="AE34">
        <f>VLOOKUP(Table15[[#Headers],[RHE]],Table2[#All],4,FALSE)*Table112[[#This Row],[RHE]]</f>
        <v>0</v>
      </c>
      <c r="AF34">
        <f>VLOOKUP(Table15[[#Headers],[RHO]],Table2[#All],4,FALSE)*Table112[[#This Row],[RHO]]</f>
        <v>0</v>
      </c>
      <c r="AG34">
        <f>VLOOKUP(Table15[[#Headers],[RUB]],Table2[#All],4,FALSE)*Table112[[#This Row],[RUB]]</f>
        <v>0</v>
      </c>
      <c r="AH34">
        <f>VLOOKUP(Table15[[#Headers],[RUT]],Table2[#All],4,FALSE)*Table112[[#This Row],[RUT]]</f>
        <v>0</v>
      </c>
      <c r="AI34">
        <f>VLOOKUP(Table15[[#Headers],[SCA]],Table2[#All],4,FALSE)*Table112[[#This Row],[SCA]]</f>
        <v>0</v>
      </c>
      <c r="AJ34">
        <f>VLOOKUP(Table15[[#Headers],[SIL]],Table2[#All],4,FALSE)*Table112[[#This Row],[SIL]]</f>
        <v>0</v>
      </c>
      <c r="AK34">
        <f>VLOOKUP(Table15[[#Headers],[SLV]],Table2[#All],4,FALSE)*Table112[[#This Row],[SLV]]</f>
        <v>0</v>
      </c>
      <c r="AL34">
        <f>VLOOKUP(Table15[[#Headers],[TAN]],Table2[#All],4,FALSE)*Table112[[#This Row],[TAN]]</f>
        <v>0</v>
      </c>
      <c r="AM34">
        <f>VLOOKUP(Table15[[#Headers],[TEL]],Table2[#All],4,FALSE)*Table112[[#This Row],[TEL]]</f>
        <v>0</v>
      </c>
      <c r="AN34">
        <f>VLOOKUP(Table15[[#Headers],[TIN]],Table2[#All],4,FALSE)*Table112[[#This Row],[TIN]]</f>
        <v>0</v>
      </c>
      <c r="AO34">
        <f>VLOOKUP(Table15[[#Headers],[TIT]],Table2[#All],4,FALSE)*Table112[[#This Row],[TIT]]</f>
        <v>0</v>
      </c>
      <c r="AP34">
        <f>VLOOKUP(Table15[[#Headers],[TUN]],Table2[#All],4,FALSE)*Table112[[#This Row],[TUN]]</f>
        <v>0</v>
      </c>
      <c r="AQ34">
        <f>VLOOKUP(Table15[[#Headers],[URA]],Table2[#All],4,FALSE)*Table112[[#This Row],[URA]]</f>
        <v>0</v>
      </c>
      <c r="AR34">
        <f>VLOOKUP(Table15[[#Headers],[VAN]],Table2[#All],4,FALSE)*Table112[[#This Row],[VAN]]</f>
        <v>0</v>
      </c>
      <c r="AS34">
        <f>VLOOKUP(Table15[[#Headers],[ZIN]],Table2[#All],4,FALSE)*Table112[[#This Row],[ZIN]]</f>
        <v>0</v>
      </c>
      <c r="AT34">
        <f>VLOOKUP(Table15[[#Headers],[ZIR]],Table2[#All],4,FALSE)*Table112[[#This Row],[ZIR]]</f>
        <v>0</v>
      </c>
      <c r="AU34">
        <f>VLOOKUP(Table15[[#Headers],[REE]],Table2[#All],4,FALSE)*Table112[[#This Row],[REE]]</f>
        <v>0</v>
      </c>
      <c r="AV34">
        <f t="shared" ref="AV34:AV54" si="1">SUM(B34:AU34)</f>
        <v>1.6</v>
      </c>
    </row>
    <row r="35" spans="1:48">
      <c r="A35" t="s">
        <v>569</v>
      </c>
      <c r="B35">
        <f>VLOOKUP(Table15[[#Headers],[ALU]],Table2[#All],4,FALSE)*Table112[[#This Row],[ALU]]</f>
        <v>0</v>
      </c>
      <c r="C35">
        <f>VLOOKUP(Table15[[#Headers],[ANT]],Table2[#All],4,FALSE)*Table112[[#This Row],[ANT]]</f>
        <v>0</v>
      </c>
      <c r="D35">
        <f>VLOOKUP(Table15[[#Headers],[ARS]],Table2[#All],4,FALSE)</f>
        <v>0.8</v>
      </c>
      <c r="E35">
        <f>VLOOKUP(Table15[[#Headers],[BAR]],Table2[#All],4,FALSE)*Table112[[#This Row],[BAR]]</f>
        <v>0</v>
      </c>
      <c r="F35">
        <f>VLOOKUP(Table15[[#Headers],[BER]],Table2[#All],4,FALSE)*Table112[[#This Row],[BER]]</f>
        <v>0</v>
      </c>
      <c r="G35">
        <f>VLOOKUP(Table15[[#Headers],[BIS]],Table2[#All],4,FALSE)*Table112[[#This Row],[BIS]]</f>
        <v>0</v>
      </c>
      <c r="H35">
        <f>VLOOKUP(Table15[[#Headers],[BOR]],Table2[#All],4,FALSE)*Table112[[#This Row],[BOR]]</f>
        <v>0</v>
      </c>
      <c r="I35">
        <f>VLOOKUP(Table15[[#Headers],[CES]],Table2[#All],4,FALSE)*Table112[[#This Row],[CES]]</f>
        <v>0</v>
      </c>
      <c r="J35">
        <f>VLOOKUP(Table15[[#Headers],[CHR]],Table2[#All],4,FALSE)*Table112[[#This Row],[CHR]]</f>
        <v>0</v>
      </c>
      <c r="K35">
        <f>VLOOKUP(Table15[[#Headers],[COB]],Table2[#All],4,FALSE)*Table112[[#This Row],[COB]]</f>
        <v>0.8</v>
      </c>
      <c r="L35">
        <f>VLOOKUP(Table15[[#Headers],[COP]],Table2[#All],4,FALSE)*Table112[[#This Row],[COP]]</f>
        <v>0</v>
      </c>
      <c r="M35">
        <f>VLOOKUP(Table15[[#Headers],[FLU]],Table2[#All],4,FALSE)*Table112[[#This Row],[FLU]]</f>
        <v>0</v>
      </c>
      <c r="N35">
        <f>VLOOKUP(Table15[[#Headers],[GAL]],Table2[#All],4,FALSE)*Table112[[#This Row],[GAL]]</f>
        <v>0</v>
      </c>
      <c r="O35">
        <f>VLOOKUP(Table15[[#Headers],[GER]],Table2[#All],4,FALSE)*Table112[[#This Row],[GER]]</f>
        <v>0</v>
      </c>
      <c r="P35">
        <f>VLOOKUP(Table15[[#Headers],[GRA]],Table2[#All],4,FALSE)*Table112[[#This Row],[GRA]]</f>
        <v>0</v>
      </c>
      <c r="Q35">
        <f>VLOOKUP(Table15[[#Headers],[HAF]],Table2[#All],4,FALSE)*Table112[[#This Row],[HAF]]</f>
        <v>0</v>
      </c>
      <c r="R35">
        <f>VLOOKUP(Table15[[#Headers],[IND]],Table2[#All],4,FALSE)*Table112[[#This Row],[IND]]</f>
        <v>0</v>
      </c>
      <c r="S35">
        <f>VLOOKUP(Table15[[#Headers],[IRI]],Table2[#All],4,FALSE)*Table112[[#This Row],[IRI]]</f>
        <v>0</v>
      </c>
      <c r="T35">
        <f>VLOOKUP(Table15[[#Headers],[LED]],Table2[#All],4,FALSE)*Table112[[#This Row],[LED]]</f>
        <v>0</v>
      </c>
      <c r="U35">
        <f>VLOOKUP(Table15[[#Headers],[LIT]],Table2[#All],4,FALSE)*Table112[[#This Row],[LIT]]</f>
        <v>0</v>
      </c>
      <c r="V35">
        <f>VLOOKUP(Table15[[#Headers],[MAG]],Table2[#All],4,FALSE)*Table112[[#This Row],[MAG]]</f>
        <v>0</v>
      </c>
      <c r="W35">
        <f>VLOOKUP(Table15[[#Headers],[MAN]],Table2[#All],4,FALSE)*Table112[[#This Row],[MAN]]</f>
        <v>0</v>
      </c>
      <c r="X35">
        <f>VLOOKUP(Table15[[#Headers],[MCO]],Table2[#All],4,FALSE)*Table112[[#This Row],[MCO]]</f>
        <v>0</v>
      </c>
      <c r="Y35">
        <f>VLOOKUP(Table15[[#Headers],[NIC]],Table2[#All],4,FALSE)*Table112[[#This Row],[NIC]]</f>
        <v>0</v>
      </c>
      <c r="Z35">
        <f>VLOOKUP(Table15[[#Headers],[NIO]],Table2[#All],4,FALSE)*Table112[[#This Row],[NIO]]</f>
        <v>0</v>
      </c>
      <c r="AA35">
        <f>VLOOKUP(Table15[[#Headers],[PAL]],Table2[#All],4,FALSE)*Table112[[#This Row],[PAL]]</f>
        <v>0</v>
      </c>
      <c r="AB35">
        <f>VLOOKUP(Table15[[#Headers],[PHO]],Table2[#All],4,FALSE)*Table112[[#This Row],[PHO]]</f>
        <v>0</v>
      </c>
      <c r="AC35">
        <f>VLOOKUP(Table15[[#Headers],[PLA]],Table2[#All],4,FALSE)*Table112[[#This Row],[PLA]]</f>
        <v>0</v>
      </c>
      <c r="AD35">
        <f>VLOOKUP(Table15[[#Headers],[POT]],Table2[#All],4,FALSE)*Table112[[#This Row],[POT]]</f>
        <v>0</v>
      </c>
      <c r="AE35">
        <f>VLOOKUP(Table15[[#Headers],[RHE]],Table2[#All],4,FALSE)*Table112[[#This Row],[RHE]]</f>
        <v>0</v>
      </c>
      <c r="AF35">
        <f>VLOOKUP(Table15[[#Headers],[RHO]],Table2[#All],4,FALSE)*Table112[[#This Row],[RHO]]</f>
        <v>0</v>
      </c>
      <c r="AG35">
        <f>VLOOKUP(Table15[[#Headers],[RUB]],Table2[#All],4,FALSE)*Table112[[#This Row],[RUB]]</f>
        <v>0</v>
      </c>
      <c r="AH35">
        <f>VLOOKUP(Table15[[#Headers],[RUT]],Table2[#All],4,FALSE)*Table112[[#This Row],[RUT]]</f>
        <v>0</v>
      </c>
      <c r="AI35">
        <f>VLOOKUP(Table15[[#Headers],[SCA]],Table2[#All],4,FALSE)*Table112[[#This Row],[SCA]]</f>
        <v>0</v>
      </c>
      <c r="AJ35">
        <f>VLOOKUP(Table15[[#Headers],[SIL]],Table2[#All],4,FALSE)*Table112[[#This Row],[SIL]]</f>
        <v>0</v>
      </c>
      <c r="AK35">
        <f>VLOOKUP(Table15[[#Headers],[SLV]],Table2[#All],4,FALSE)*Table112[[#This Row],[SLV]]</f>
        <v>0</v>
      </c>
      <c r="AL35">
        <f>VLOOKUP(Table15[[#Headers],[TAN]],Table2[#All],4,FALSE)*Table112[[#This Row],[TAN]]</f>
        <v>0</v>
      </c>
      <c r="AM35">
        <f>VLOOKUP(Table15[[#Headers],[TEL]],Table2[#All],4,FALSE)*Table112[[#This Row],[TEL]]</f>
        <v>0</v>
      </c>
      <c r="AN35">
        <f>VLOOKUP(Table15[[#Headers],[TIN]],Table2[#All],4,FALSE)*Table112[[#This Row],[TIN]]</f>
        <v>0</v>
      </c>
      <c r="AO35">
        <f>VLOOKUP(Table15[[#Headers],[TIT]],Table2[#All],4,FALSE)*Table112[[#This Row],[TIT]]</f>
        <v>0</v>
      </c>
      <c r="AP35">
        <f>VLOOKUP(Table15[[#Headers],[TUN]],Table2[#All],4,FALSE)*Table112[[#This Row],[TUN]]</f>
        <v>0</v>
      </c>
      <c r="AQ35">
        <f>VLOOKUP(Table15[[#Headers],[URA]],Table2[#All],4,FALSE)*Table112[[#This Row],[URA]]</f>
        <v>0</v>
      </c>
      <c r="AR35">
        <f>VLOOKUP(Table15[[#Headers],[VAN]],Table2[#All],4,FALSE)*Table112[[#This Row],[VAN]]</f>
        <v>0</v>
      </c>
      <c r="AS35">
        <f>VLOOKUP(Table15[[#Headers],[ZIN]],Table2[#All],4,FALSE)*Table112[[#This Row],[ZIN]]</f>
        <v>0</v>
      </c>
      <c r="AT35">
        <f>VLOOKUP(Table15[[#Headers],[ZIR]],Table2[#All],4,FALSE)*Table112[[#This Row],[ZIR]]</f>
        <v>0</v>
      </c>
      <c r="AU35">
        <f>VLOOKUP(Table15[[#Headers],[REE]],Table2[#All],4,FALSE)*Table112[[#This Row],[REE]]</f>
        <v>0</v>
      </c>
      <c r="AV35">
        <f t="shared" si="1"/>
        <v>1.6</v>
      </c>
    </row>
    <row r="36" spans="1:48">
      <c r="A36" t="s">
        <v>703</v>
      </c>
      <c r="B36">
        <f>VLOOKUP(Table15[[#Headers],[ALU]],Table2[#All],4,FALSE)*Table112[[#This Row],[ALU]]</f>
        <v>0</v>
      </c>
      <c r="C36">
        <f>VLOOKUP(Table15[[#Headers],[ANT]],Table2[#All],4,FALSE)*Table112[[#This Row],[ANT]]</f>
        <v>0</v>
      </c>
      <c r="D36">
        <f>VLOOKUP(Table15[[#Headers],[ARS]],Table2[#All],4,FALSE)</f>
        <v>0.8</v>
      </c>
      <c r="E36">
        <f>VLOOKUP(Table15[[#Headers],[BAR]],Table2[#All],4,FALSE)*Table112[[#This Row],[BAR]]</f>
        <v>0</v>
      </c>
      <c r="F36">
        <f>VLOOKUP(Table15[[#Headers],[BER]],Table2[#All],4,FALSE)*Table112[[#This Row],[BER]]</f>
        <v>0</v>
      </c>
      <c r="G36">
        <f>VLOOKUP(Table15[[#Headers],[BIS]],Table2[#All],4,FALSE)*Table112[[#This Row],[BIS]]</f>
        <v>0</v>
      </c>
      <c r="H36">
        <f>VLOOKUP(Table15[[#Headers],[BOR]],Table2[#All],4,FALSE)*Table112[[#This Row],[BOR]]</f>
        <v>0</v>
      </c>
      <c r="I36">
        <f>VLOOKUP(Table15[[#Headers],[CES]],Table2[#All],4,FALSE)*Table112[[#This Row],[CES]]</f>
        <v>0</v>
      </c>
      <c r="J36">
        <f>VLOOKUP(Table15[[#Headers],[CHR]],Table2[#All],4,FALSE)*Table112[[#This Row],[CHR]]</f>
        <v>0</v>
      </c>
      <c r="K36">
        <f>VLOOKUP(Table15[[#Headers],[COB]],Table2[#All],4,FALSE)*Table112[[#This Row],[COB]]</f>
        <v>0</v>
      </c>
      <c r="L36">
        <f>VLOOKUP(Table15[[#Headers],[COP]],Table2[#All],4,FALSE)*Table112[[#This Row],[COP]]</f>
        <v>0</v>
      </c>
      <c r="M36">
        <f>VLOOKUP(Table15[[#Headers],[FLU]],Table2[#All],4,FALSE)*Table112[[#This Row],[FLU]]</f>
        <v>0</v>
      </c>
      <c r="N36">
        <f>VLOOKUP(Table15[[#Headers],[GAL]],Table2[#All],4,FALSE)*Table112[[#This Row],[GAL]]</f>
        <v>0</v>
      </c>
      <c r="O36">
        <f>VLOOKUP(Table15[[#Headers],[GER]],Table2[#All],4,FALSE)*Table112[[#This Row],[GER]]</f>
        <v>0</v>
      </c>
      <c r="P36">
        <f>VLOOKUP(Table15[[#Headers],[GRA]],Table2[#All],4,FALSE)*Table112[[#This Row],[GRA]]</f>
        <v>0</v>
      </c>
      <c r="Q36">
        <f>VLOOKUP(Table15[[#Headers],[HAF]],Table2[#All],4,FALSE)*Table112[[#This Row],[HAF]]</f>
        <v>0</v>
      </c>
      <c r="R36">
        <f>VLOOKUP(Table15[[#Headers],[IND]],Table2[#All],4,FALSE)*Table112[[#This Row],[IND]]</f>
        <v>0</v>
      </c>
      <c r="S36">
        <f>VLOOKUP(Table15[[#Headers],[IRI]],Table2[#All],4,FALSE)*Table112[[#This Row],[IRI]]</f>
        <v>0</v>
      </c>
      <c r="T36">
        <f>VLOOKUP(Table15[[#Headers],[LED]],Table2[#All],4,FALSE)*Table112[[#This Row],[LED]]</f>
        <v>0</v>
      </c>
      <c r="U36">
        <f>VLOOKUP(Table15[[#Headers],[LIT]],Table2[#All],4,FALSE)*Table112[[#This Row],[LIT]]</f>
        <v>0</v>
      </c>
      <c r="V36">
        <f>VLOOKUP(Table15[[#Headers],[MAG]],Table2[#All],4,FALSE)*Table112[[#This Row],[MAG]]</f>
        <v>0</v>
      </c>
      <c r="W36">
        <f>VLOOKUP(Table15[[#Headers],[MAN]],Table2[#All],4,FALSE)*Table112[[#This Row],[MAN]]</f>
        <v>0</v>
      </c>
      <c r="X36">
        <f>VLOOKUP(Table15[[#Headers],[MCO]],Table2[#All],4,FALSE)*Table112[[#This Row],[MCO]]</f>
        <v>0</v>
      </c>
      <c r="Y36">
        <f>VLOOKUP(Table15[[#Headers],[NIC]],Table2[#All],4,FALSE)*Table112[[#This Row],[NIC]]</f>
        <v>0</v>
      </c>
      <c r="Z36">
        <f>VLOOKUP(Table15[[#Headers],[NIO]],Table2[#All],4,FALSE)*Table112[[#This Row],[NIO]]</f>
        <v>0</v>
      </c>
      <c r="AA36">
        <f>VLOOKUP(Table15[[#Headers],[PAL]],Table2[#All],4,FALSE)*Table112[[#This Row],[PAL]]</f>
        <v>0</v>
      </c>
      <c r="AB36">
        <f>VLOOKUP(Table15[[#Headers],[PHO]],Table2[#All],4,FALSE)*Table112[[#This Row],[PHO]]</f>
        <v>0.8</v>
      </c>
      <c r="AC36">
        <f>VLOOKUP(Table15[[#Headers],[PLA]],Table2[#All],4,FALSE)*Table112[[#This Row],[PLA]]</f>
        <v>0</v>
      </c>
      <c r="AD36">
        <f>VLOOKUP(Table15[[#Headers],[POT]],Table2[#All],4,FALSE)*Table112[[#This Row],[POT]]</f>
        <v>0</v>
      </c>
      <c r="AE36">
        <f>VLOOKUP(Table15[[#Headers],[RHE]],Table2[#All],4,FALSE)*Table112[[#This Row],[RHE]]</f>
        <v>0</v>
      </c>
      <c r="AF36">
        <f>VLOOKUP(Table15[[#Headers],[RHO]],Table2[#All],4,FALSE)*Table112[[#This Row],[RHO]]</f>
        <v>0</v>
      </c>
      <c r="AG36">
        <f>VLOOKUP(Table15[[#Headers],[RUB]],Table2[#All],4,FALSE)*Table112[[#This Row],[RUB]]</f>
        <v>0</v>
      </c>
      <c r="AH36">
        <f>VLOOKUP(Table15[[#Headers],[RUT]],Table2[#All],4,FALSE)*Table112[[#This Row],[RUT]]</f>
        <v>0</v>
      </c>
      <c r="AI36">
        <f>VLOOKUP(Table15[[#Headers],[SCA]],Table2[#All],4,FALSE)*Table112[[#This Row],[SCA]]</f>
        <v>0</v>
      </c>
      <c r="AJ36">
        <f>VLOOKUP(Table15[[#Headers],[SIL]],Table2[#All],4,FALSE)*Table112[[#This Row],[SIL]]</f>
        <v>0</v>
      </c>
      <c r="AK36">
        <f>VLOOKUP(Table15[[#Headers],[SLV]],Table2[#All],4,FALSE)*Table112[[#This Row],[SLV]]</f>
        <v>0</v>
      </c>
      <c r="AL36">
        <f>VLOOKUP(Table15[[#Headers],[TAN]],Table2[#All],4,FALSE)*Table112[[#This Row],[TAN]]</f>
        <v>0</v>
      </c>
      <c r="AM36">
        <f>VLOOKUP(Table15[[#Headers],[TEL]],Table2[#All],4,FALSE)*Table112[[#This Row],[TEL]]</f>
        <v>0</v>
      </c>
      <c r="AN36">
        <f>VLOOKUP(Table15[[#Headers],[TIN]],Table2[#All],4,FALSE)*Table112[[#This Row],[TIN]]</f>
        <v>0</v>
      </c>
      <c r="AO36">
        <f>VLOOKUP(Table15[[#Headers],[TIT]],Table2[#All],4,FALSE)*Table112[[#This Row],[TIT]]</f>
        <v>0</v>
      </c>
      <c r="AP36">
        <f>VLOOKUP(Table15[[#Headers],[TUN]],Table2[#All],4,FALSE)*Table112[[#This Row],[TUN]]</f>
        <v>0</v>
      </c>
      <c r="AQ36">
        <f>VLOOKUP(Table15[[#Headers],[URA]],Table2[#All],4,FALSE)*Table112[[#This Row],[URA]]</f>
        <v>0</v>
      </c>
      <c r="AR36">
        <f>VLOOKUP(Table15[[#Headers],[VAN]],Table2[#All],4,FALSE)*Table112[[#This Row],[VAN]]</f>
        <v>0</v>
      </c>
      <c r="AS36">
        <f>VLOOKUP(Table15[[#Headers],[ZIN]],Table2[#All],4,FALSE)*Table112[[#This Row],[ZIN]]</f>
        <v>0</v>
      </c>
      <c r="AT36">
        <f>VLOOKUP(Table15[[#Headers],[ZIR]],Table2[#All],4,FALSE)*Table112[[#This Row],[ZIR]]</f>
        <v>0</v>
      </c>
      <c r="AU36">
        <f>VLOOKUP(Table15[[#Headers],[REE]],Table2[#All],4,FALSE)*Table112[[#This Row],[REE]]</f>
        <v>0</v>
      </c>
      <c r="AV36">
        <f t="shared" si="1"/>
        <v>1.6</v>
      </c>
    </row>
    <row r="37" spans="1:48">
      <c r="A37" t="s">
        <v>553</v>
      </c>
      <c r="B37">
        <f>VLOOKUP(Table15[[#Headers],[ALU]],Table2[#All],4,FALSE)*Table112[[#This Row],[ALU]]</f>
        <v>0</v>
      </c>
      <c r="C37">
        <f>VLOOKUP(Table15[[#Headers],[ANT]],Table2[#All],4,FALSE)*Table112[[#This Row],[ANT]]</f>
        <v>0</v>
      </c>
      <c r="D37">
        <f>VLOOKUP(Table15[[#Headers],[ARS]],Table2[#All],4,FALSE)</f>
        <v>0.8</v>
      </c>
      <c r="E37">
        <f>VLOOKUP(Table15[[#Headers],[BAR]],Table2[#All],4,FALSE)*Table112[[#This Row],[BAR]]</f>
        <v>0</v>
      </c>
      <c r="F37">
        <f>VLOOKUP(Table15[[#Headers],[BER]],Table2[#All],4,FALSE)*Table112[[#This Row],[BER]]</f>
        <v>0</v>
      </c>
      <c r="G37">
        <f>VLOOKUP(Table15[[#Headers],[BIS]],Table2[#All],4,FALSE)*Table112[[#This Row],[BIS]]</f>
        <v>0</v>
      </c>
      <c r="H37">
        <f>VLOOKUP(Table15[[#Headers],[BOR]],Table2[#All],4,FALSE)*Table112[[#This Row],[BOR]]</f>
        <v>0</v>
      </c>
      <c r="I37">
        <f>VLOOKUP(Table15[[#Headers],[CES]],Table2[#All],4,FALSE)*Table112[[#This Row],[CES]]</f>
        <v>0</v>
      </c>
      <c r="J37">
        <f>VLOOKUP(Table15[[#Headers],[CHR]],Table2[#All],4,FALSE)*Table112[[#This Row],[CHR]]</f>
        <v>0.8</v>
      </c>
      <c r="K37">
        <f>VLOOKUP(Table15[[#Headers],[COB]],Table2[#All],4,FALSE)*Table112[[#This Row],[COB]]</f>
        <v>0</v>
      </c>
      <c r="L37">
        <f>VLOOKUP(Table15[[#Headers],[COP]],Table2[#All],4,FALSE)*Table112[[#This Row],[COP]]</f>
        <v>0</v>
      </c>
      <c r="M37">
        <f>VLOOKUP(Table15[[#Headers],[FLU]],Table2[#All],4,FALSE)*Table112[[#This Row],[FLU]]</f>
        <v>0</v>
      </c>
      <c r="N37">
        <f>VLOOKUP(Table15[[#Headers],[GAL]],Table2[#All],4,FALSE)*Table112[[#This Row],[GAL]]</f>
        <v>0</v>
      </c>
      <c r="O37">
        <f>VLOOKUP(Table15[[#Headers],[GER]],Table2[#All],4,FALSE)*Table112[[#This Row],[GER]]</f>
        <v>0</v>
      </c>
      <c r="P37">
        <f>VLOOKUP(Table15[[#Headers],[GRA]],Table2[#All],4,FALSE)*Table112[[#This Row],[GRA]]</f>
        <v>0</v>
      </c>
      <c r="Q37">
        <f>VLOOKUP(Table15[[#Headers],[HAF]],Table2[#All],4,FALSE)*Table112[[#This Row],[HAF]]</f>
        <v>0</v>
      </c>
      <c r="R37">
        <f>VLOOKUP(Table15[[#Headers],[IND]],Table2[#All],4,FALSE)*Table112[[#This Row],[IND]]</f>
        <v>0</v>
      </c>
      <c r="S37">
        <f>VLOOKUP(Table15[[#Headers],[IRI]],Table2[#All],4,FALSE)*Table112[[#This Row],[IRI]]</f>
        <v>0</v>
      </c>
      <c r="T37">
        <f>VLOOKUP(Table15[[#Headers],[LED]],Table2[#All],4,FALSE)*Table112[[#This Row],[LED]]</f>
        <v>0</v>
      </c>
      <c r="U37">
        <f>VLOOKUP(Table15[[#Headers],[LIT]],Table2[#All],4,FALSE)*Table112[[#This Row],[LIT]]</f>
        <v>0</v>
      </c>
      <c r="V37">
        <f>VLOOKUP(Table15[[#Headers],[MAG]],Table2[#All],4,FALSE)*Table112[[#This Row],[MAG]]</f>
        <v>0</v>
      </c>
      <c r="W37">
        <f>VLOOKUP(Table15[[#Headers],[MAN]],Table2[#All],4,FALSE)*Table112[[#This Row],[MAN]]</f>
        <v>0</v>
      </c>
      <c r="X37">
        <f>VLOOKUP(Table15[[#Headers],[MCO]],Table2[#All],4,FALSE)*Table112[[#This Row],[MCO]]</f>
        <v>0</v>
      </c>
      <c r="Y37">
        <f>VLOOKUP(Table15[[#Headers],[NIC]],Table2[#All],4,FALSE)*Table112[[#This Row],[NIC]]</f>
        <v>0</v>
      </c>
      <c r="Z37">
        <f>VLOOKUP(Table15[[#Headers],[NIO]],Table2[#All],4,FALSE)*Table112[[#This Row],[NIO]]</f>
        <v>0</v>
      </c>
      <c r="AA37">
        <f>VLOOKUP(Table15[[#Headers],[PAL]],Table2[#All],4,FALSE)*Table112[[#This Row],[PAL]]</f>
        <v>0</v>
      </c>
      <c r="AB37">
        <f>VLOOKUP(Table15[[#Headers],[PHO]],Table2[#All],4,FALSE)*Table112[[#This Row],[PHO]]</f>
        <v>0</v>
      </c>
      <c r="AC37">
        <f>VLOOKUP(Table15[[#Headers],[PLA]],Table2[#All],4,FALSE)*Table112[[#This Row],[PLA]]</f>
        <v>0</v>
      </c>
      <c r="AD37">
        <f>VLOOKUP(Table15[[#Headers],[POT]],Table2[#All],4,FALSE)*Table112[[#This Row],[POT]]</f>
        <v>0</v>
      </c>
      <c r="AE37">
        <f>VLOOKUP(Table15[[#Headers],[RHE]],Table2[#All],4,FALSE)*Table112[[#This Row],[RHE]]</f>
        <v>0</v>
      </c>
      <c r="AF37">
        <f>VLOOKUP(Table15[[#Headers],[RHO]],Table2[#All],4,FALSE)*Table112[[#This Row],[RHO]]</f>
        <v>0</v>
      </c>
      <c r="AG37">
        <f>VLOOKUP(Table15[[#Headers],[RUB]],Table2[#All],4,FALSE)*Table112[[#This Row],[RUB]]</f>
        <v>0</v>
      </c>
      <c r="AH37">
        <f>VLOOKUP(Table15[[#Headers],[RUT]],Table2[#All],4,FALSE)*Table112[[#This Row],[RUT]]</f>
        <v>0</v>
      </c>
      <c r="AI37">
        <f>VLOOKUP(Table15[[#Headers],[SCA]],Table2[#All],4,FALSE)*Table112[[#This Row],[SCA]]</f>
        <v>0</v>
      </c>
      <c r="AJ37">
        <f>VLOOKUP(Table15[[#Headers],[SIL]],Table2[#All],4,FALSE)*Table112[[#This Row],[SIL]]</f>
        <v>0</v>
      </c>
      <c r="AK37">
        <f>VLOOKUP(Table15[[#Headers],[SLV]],Table2[#All],4,FALSE)*Table112[[#This Row],[SLV]]</f>
        <v>0</v>
      </c>
      <c r="AL37">
        <f>VLOOKUP(Table15[[#Headers],[TAN]],Table2[#All],4,FALSE)*Table112[[#This Row],[TAN]]</f>
        <v>0</v>
      </c>
      <c r="AM37">
        <f>VLOOKUP(Table15[[#Headers],[TEL]],Table2[#All],4,FALSE)*Table112[[#This Row],[TEL]]</f>
        <v>0</v>
      </c>
      <c r="AN37">
        <f>VLOOKUP(Table15[[#Headers],[TIN]],Table2[#All],4,FALSE)*Table112[[#This Row],[TIN]]</f>
        <v>0</v>
      </c>
      <c r="AO37">
        <f>VLOOKUP(Table15[[#Headers],[TIT]],Table2[#All],4,FALSE)*Table112[[#This Row],[TIT]]</f>
        <v>0</v>
      </c>
      <c r="AP37">
        <f>VLOOKUP(Table15[[#Headers],[TUN]],Table2[#All],4,FALSE)*Table112[[#This Row],[TUN]]</f>
        <v>0</v>
      </c>
      <c r="AQ37">
        <f>VLOOKUP(Table15[[#Headers],[URA]],Table2[#All],4,FALSE)*Table112[[#This Row],[URA]]</f>
        <v>0</v>
      </c>
      <c r="AR37">
        <f>VLOOKUP(Table15[[#Headers],[VAN]],Table2[#All],4,FALSE)*Table112[[#This Row],[VAN]]</f>
        <v>0</v>
      </c>
      <c r="AS37">
        <f>VLOOKUP(Table15[[#Headers],[ZIN]],Table2[#All],4,FALSE)*Table112[[#This Row],[ZIN]]</f>
        <v>0</v>
      </c>
      <c r="AT37">
        <f>VLOOKUP(Table15[[#Headers],[ZIR]],Table2[#All],4,FALSE)*Table112[[#This Row],[ZIR]]</f>
        <v>0</v>
      </c>
      <c r="AU37">
        <f>VLOOKUP(Table15[[#Headers],[REE]],Table2[#All],4,FALSE)*Table112[[#This Row],[REE]]</f>
        <v>0</v>
      </c>
      <c r="AV37">
        <f t="shared" si="1"/>
        <v>1.6</v>
      </c>
    </row>
    <row r="38" spans="1:48">
      <c r="A38" t="s">
        <v>614</v>
      </c>
      <c r="B38">
        <f>VLOOKUP(Table15[[#Headers],[ALU]],Table2[#All],4,FALSE)*Table112[[#This Row],[ALU]]</f>
        <v>0</v>
      </c>
      <c r="C38">
        <f>VLOOKUP(Table15[[#Headers],[ANT]],Table2[#All],4,FALSE)*Table112[[#This Row],[ANT]]</f>
        <v>0</v>
      </c>
      <c r="D38">
        <f>VLOOKUP(Table15[[#Headers],[ARS]],Table2[#All],4,FALSE)</f>
        <v>0.8</v>
      </c>
      <c r="E38">
        <f>VLOOKUP(Table15[[#Headers],[BAR]],Table2[#All],4,FALSE)*Table112[[#This Row],[BAR]]</f>
        <v>0</v>
      </c>
      <c r="F38">
        <f>VLOOKUP(Table15[[#Headers],[BER]],Table2[#All],4,FALSE)*Table112[[#This Row],[BER]]</f>
        <v>0</v>
      </c>
      <c r="G38">
        <f>VLOOKUP(Table15[[#Headers],[BIS]],Table2[#All],4,FALSE)*Table112[[#This Row],[BIS]]</f>
        <v>0</v>
      </c>
      <c r="H38">
        <f>VLOOKUP(Table15[[#Headers],[BOR]],Table2[#All],4,FALSE)*Table112[[#This Row],[BOR]]</f>
        <v>0</v>
      </c>
      <c r="I38">
        <f>VLOOKUP(Table15[[#Headers],[CES]],Table2[#All],4,FALSE)*Table112[[#This Row],[CES]]</f>
        <v>0</v>
      </c>
      <c r="J38">
        <f>VLOOKUP(Table15[[#Headers],[CHR]],Table2[#All],4,FALSE)*Table112[[#This Row],[CHR]]</f>
        <v>0</v>
      </c>
      <c r="K38">
        <f>VLOOKUP(Table15[[#Headers],[COB]],Table2[#All],4,FALSE)*Table112[[#This Row],[COB]]</f>
        <v>0</v>
      </c>
      <c r="L38">
        <f>VLOOKUP(Table15[[#Headers],[COP]],Table2[#All],4,FALSE)*Table112[[#This Row],[COP]]</f>
        <v>0</v>
      </c>
      <c r="M38">
        <f>VLOOKUP(Table15[[#Headers],[FLU]],Table2[#All],4,FALSE)*Table112[[#This Row],[FLU]]</f>
        <v>0</v>
      </c>
      <c r="N38">
        <f>VLOOKUP(Table15[[#Headers],[GAL]],Table2[#All],4,FALSE)*Table112[[#This Row],[GAL]]</f>
        <v>0</v>
      </c>
      <c r="O38">
        <f>VLOOKUP(Table15[[#Headers],[GER]],Table2[#All],4,FALSE)*Table112[[#This Row],[GER]]</f>
        <v>0</v>
      </c>
      <c r="P38">
        <f>VLOOKUP(Table15[[#Headers],[GRA]],Table2[#All],4,FALSE)*Table112[[#This Row],[GRA]]</f>
        <v>0</v>
      </c>
      <c r="Q38">
        <f>VLOOKUP(Table15[[#Headers],[HAF]],Table2[#All],4,FALSE)*Table112[[#This Row],[HAF]]</f>
        <v>0</v>
      </c>
      <c r="R38">
        <f>VLOOKUP(Table15[[#Headers],[IND]],Table2[#All],4,FALSE)*Table112[[#This Row],[IND]]</f>
        <v>0</v>
      </c>
      <c r="S38">
        <f>VLOOKUP(Table15[[#Headers],[IRI]],Table2[#All],4,FALSE)*Table112[[#This Row],[IRI]]</f>
        <v>0</v>
      </c>
      <c r="T38">
        <f>VLOOKUP(Table15[[#Headers],[LED]],Table2[#All],4,FALSE)*Table112[[#This Row],[LED]]</f>
        <v>0</v>
      </c>
      <c r="U38">
        <f>VLOOKUP(Table15[[#Headers],[LIT]],Table2[#All],4,FALSE)*Table112[[#This Row],[LIT]]</f>
        <v>0</v>
      </c>
      <c r="V38">
        <f>VLOOKUP(Table15[[#Headers],[MAG]],Table2[#All],4,FALSE)*Table112[[#This Row],[MAG]]</f>
        <v>0</v>
      </c>
      <c r="W38">
        <f>VLOOKUP(Table15[[#Headers],[MAN]],Table2[#All],4,FALSE)*Table112[[#This Row],[MAN]]</f>
        <v>0.8</v>
      </c>
      <c r="X38">
        <f>VLOOKUP(Table15[[#Headers],[MCO]],Table2[#All],4,FALSE)*Table112[[#This Row],[MCO]]</f>
        <v>0</v>
      </c>
      <c r="Y38">
        <f>VLOOKUP(Table15[[#Headers],[NIC]],Table2[#All],4,FALSE)*Table112[[#This Row],[NIC]]</f>
        <v>0</v>
      </c>
      <c r="Z38">
        <f>VLOOKUP(Table15[[#Headers],[NIO]],Table2[#All],4,FALSE)*Table112[[#This Row],[NIO]]</f>
        <v>0</v>
      </c>
      <c r="AA38">
        <f>VLOOKUP(Table15[[#Headers],[PAL]],Table2[#All],4,FALSE)*Table112[[#This Row],[PAL]]</f>
        <v>0</v>
      </c>
      <c r="AB38">
        <f>VLOOKUP(Table15[[#Headers],[PHO]],Table2[#All],4,FALSE)*Table112[[#This Row],[PHO]]</f>
        <v>0</v>
      </c>
      <c r="AC38">
        <f>VLOOKUP(Table15[[#Headers],[PLA]],Table2[#All],4,FALSE)*Table112[[#This Row],[PLA]]</f>
        <v>0</v>
      </c>
      <c r="AD38">
        <f>VLOOKUP(Table15[[#Headers],[POT]],Table2[#All],4,FALSE)*Table112[[#This Row],[POT]]</f>
        <v>0</v>
      </c>
      <c r="AE38">
        <f>VLOOKUP(Table15[[#Headers],[RHE]],Table2[#All],4,FALSE)*Table112[[#This Row],[RHE]]</f>
        <v>0</v>
      </c>
      <c r="AF38">
        <f>VLOOKUP(Table15[[#Headers],[RHO]],Table2[#All],4,FALSE)*Table112[[#This Row],[RHO]]</f>
        <v>0</v>
      </c>
      <c r="AG38">
        <f>VLOOKUP(Table15[[#Headers],[RUB]],Table2[#All],4,FALSE)*Table112[[#This Row],[RUB]]</f>
        <v>0</v>
      </c>
      <c r="AH38">
        <f>VLOOKUP(Table15[[#Headers],[RUT]],Table2[#All],4,FALSE)*Table112[[#This Row],[RUT]]</f>
        <v>0</v>
      </c>
      <c r="AI38">
        <f>VLOOKUP(Table15[[#Headers],[SCA]],Table2[#All],4,FALSE)*Table112[[#This Row],[SCA]]</f>
        <v>0</v>
      </c>
      <c r="AJ38">
        <f>VLOOKUP(Table15[[#Headers],[SIL]],Table2[#All],4,FALSE)*Table112[[#This Row],[SIL]]</f>
        <v>0</v>
      </c>
      <c r="AK38">
        <f>VLOOKUP(Table15[[#Headers],[SLV]],Table2[#All],4,FALSE)*Table112[[#This Row],[SLV]]</f>
        <v>0</v>
      </c>
      <c r="AL38">
        <f>VLOOKUP(Table15[[#Headers],[TAN]],Table2[#All],4,FALSE)*Table112[[#This Row],[TAN]]</f>
        <v>0</v>
      </c>
      <c r="AM38">
        <f>VLOOKUP(Table15[[#Headers],[TEL]],Table2[#All],4,FALSE)*Table112[[#This Row],[TEL]]</f>
        <v>0</v>
      </c>
      <c r="AN38">
        <f>VLOOKUP(Table15[[#Headers],[TIN]],Table2[#All],4,FALSE)*Table112[[#This Row],[TIN]]</f>
        <v>0</v>
      </c>
      <c r="AO38">
        <f>VLOOKUP(Table15[[#Headers],[TIT]],Table2[#All],4,FALSE)*Table112[[#This Row],[TIT]]</f>
        <v>0</v>
      </c>
      <c r="AP38">
        <f>VLOOKUP(Table15[[#Headers],[TUN]],Table2[#All],4,FALSE)*Table112[[#This Row],[TUN]]</f>
        <v>0</v>
      </c>
      <c r="AQ38">
        <f>VLOOKUP(Table15[[#Headers],[URA]],Table2[#All],4,FALSE)*Table112[[#This Row],[URA]]</f>
        <v>0</v>
      </c>
      <c r="AR38">
        <f>VLOOKUP(Table15[[#Headers],[VAN]],Table2[#All],4,FALSE)*Table112[[#This Row],[VAN]]</f>
        <v>0</v>
      </c>
      <c r="AS38">
        <f>VLOOKUP(Table15[[#Headers],[ZIN]],Table2[#All],4,FALSE)*Table112[[#This Row],[ZIN]]</f>
        <v>0</v>
      </c>
      <c r="AT38">
        <f>VLOOKUP(Table15[[#Headers],[ZIR]],Table2[#All],4,FALSE)*Table112[[#This Row],[ZIR]]</f>
        <v>0</v>
      </c>
      <c r="AU38">
        <f>VLOOKUP(Table15[[#Headers],[REE]],Table2[#All],4,FALSE)*Table112[[#This Row],[REE]]</f>
        <v>0</v>
      </c>
      <c r="AV38">
        <f t="shared" si="1"/>
        <v>1.6</v>
      </c>
    </row>
    <row r="39" spans="1:48">
      <c r="A39" t="s">
        <v>561</v>
      </c>
      <c r="B39">
        <f>VLOOKUP(Table15[[#Headers],[ALU]],Table2[#All],4,FALSE)*Table112[[#This Row],[ALU]]</f>
        <v>0</v>
      </c>
      <c r="C39">
        <f>VLOOKUP(Table15[[#Headers],[ANT]],Table2[#All],4,FALSE)*Table112[[#This Row],[ANT]]</f>
        <v>0</v>
      </c>
      <c r="D39">
        <f>VLOOKUP(Table15[[#Headers],[ARS]],Table2[#All],4,FALSE)</f>
        <v>0.8</v>
      </c>
      <c r="E39">
        <f>VLOOKUP(Table15[[#Headers],[BAR]],Table2[#All],4,FALSE)*Table112[[#This Row],[BAR]]</f>
        <v>0</v>
      </c>
      <c r="F39">
        <f>VLOOKUP(Table15[[#Headers],[BER]],Table2[#All],4,FALSE)*Table112[[#This Row],[BER]]</f>
        <v>0</v>
      </c>
      <c r="G39">
        <f>VLOOKUP(Table15[[#Headers],[BIS]],Table2[#All],4,FALSE)*Table112[[#This Row],[BIS]]</f>
        <v>0</v>
      </c>
      <c r="H39">
        <f>VLOOKUP(Table15[[#Headers],[BOR]],Table2[#All],4,FALSE)*Table112[[#This Row],[BOR]]</f>
        <v>0</v>
      </c>
      <c r="I39">
        <f>VLOOKUP(Table15[[#Headers],[CES]],Table2[#All],4,FALSE)*Table112[[#This Row],[CES]]</f>
        <v>0</v>
      </c>
      <c r="J39">
        <f>VLOOKUP(Table15[[#Headers],[CHR]],Table2[#All],4,FALSE)*Table112[[#This Row],[CHR]]</f>
        <v>0</v>
      </c>
      <c r="K39">
        <f>VLOOKUP(Table15[[#Headers],[COB]],Table2[#All],4,FALSE)*Table112[[#This Row],[COB]]</f>
        <v>0</v>
      </c>
      <c r="L39">
        <f>VLOOKUP(Table15[[#Headers],[COP]],Table2[#All],4,FALSE)*Table112[[#This Row],[COP]]</f>
        <v>0</v>
      </c>
      <c r="M39">
        <f>VLOOKUP(Table15[[#Headers],[FLU]],Table2[#All],4,FALSE)*Table112[[#This Row],[FLU]]</f>
        <v>0</v>
      </c>
      <c r="N39">
        <f>VLOOKUP(Table15[[#Headers],[GAL]],Table2[#All],4,FALSE)*Table112[[#This Row],[GAL]]</f>
        <v>0</v>
      </c>
      <c r="O39">
        <f>VLOOKUP(Table15[[#Headers],[GER]],Table2[#All],4,FALSE)*Table112[[#This Row],[GER]]</f>
        <v>0</v>
      </c>
      <c r="P39">
        <f>VLOOKUP(Table15[[#Headers],[GRA]],Table2[#All],4,FALSE)*Table112[[#This Row],[GRA]]</f>
        <v>0</v>
      </c>
      <c r="Q39">
        <f>VLOOKUP(Table15[[#Headers],[HAF]],Table2[#All],4,FALSE)*Table112[[#This Row],[HAF]]</f>
        <v>0</v>
      </c>
      <c r="R39">
        <f>VLOOKUP(Table15[[#Headers],[IND]],Table2[#All],4,FALSE)*Table112[[#This Row],[IND]]</f>
        <v>0</v>
      </c>
      <c r="S39">
        <f>VLOOKUP(Table15[[#Headers],[IRI]],Table2[#All],4,FALSE)*Table112[[#This Row],[IRI]]</f>
        <v>0</v>
      </c>
      <c r="T39">
        <f>VLOOKUP(Table15[[#Headers],[LED]],Table2[#All],4,FALSE)*Table112[[#This Row],[LED]]</f>
        <v>0</v>
      </c>
      <c r="U39">
        <f>VLOOKUP(Table15[[#Headers],[LIT]],Table2[#All],4,FALSE)*Table112[[#This Row],[LIT]]</f>
        <v>0</v>
      </c>
      <c r="V39">
        <f>VLOOKUP(Table15[[#Headers],[MAG]],Table2[#All],4,FALSE)*Table112[[#This Row],[MAG]]</f>
        <v>0</v>
      </c>
      <c r="W39">
        <f>VLOOKUP(Table15[[#Headers],[MAN]],Table2[#All],4,FALSE)*Table112[[#This Row],[MAN]]</f>
        <v>0</v>
      </c>
      <c r="X39">
        <f>VLOOKUP(Table15[[#Headers],[MCO]],Table2[#All],4,FALSE)*Table112[[#This Row],[MCO]]</f>
        <v>0</v>
      </c>
      <c r="Y39">
        <f>VLOOKUP(Table15[[#Headers],[NIC]],Table2[#All],4,FALSE)*Table112[[#This Row],[NIC]]</f>
        <v>0</v>
      </c>
      <c r="Z39">
        <f>VLOOKUP(Table15[[#Headers],[NIO]],Table2[#All],4,FALSE)*Table112[[#This Row],[NIO]]</f>
        <v>0</v>
      </c>
      <c r="AA39">
        <f>VLOOKUP(Table15[[#Headers],[PAL]],Table2[#All],4,FALSE)*Table112[[#This Row],[PAL]]</f>
        <v>0</v>
      </c>
      <c r="AB39">
        <f>VLOOKUP(Table15[[#Headers],[PHO]],Table2[#All],4,FALSE)*Table112[[#This Row],[PHO]]</f>
        <v>0</v>
      </c>
      <c r="AC39">
        <f>VLOOKUP(Table15[[#Headers],[PLA]],Table2[#All],4,FALSE)*Table112[[#This Row],[PLA]]</f>
        <v>0</v>
      </c>
      <c r="AD39">
        <f>VLOOKUP(Table15[[#Headers],[POT]],Table2[#All],4,FALSE)*Table112[[#This Row],[POT]]</f>
        <v>0</v>
      </c>
      <c r="AE39">
        <f>VLOOKUP(Table15[[#Headers],[RHE]],Table2[#All],4,FALSE)*Table112[[#This Row],[RHE]]</f>
        <v>0</v>
      </c>
      <c r="AF39">
        <f>VLOOKUP(Table15[[#Headers],[RHO]],Table2[#All],4,FALSE)*Table112[[#This Row],[RHO]]</f>
        <v>0</v>
      </c>
      <c r="AG39">
        <f>VLOOKUP(Table15[[#Headers],[RUB]],Table2[#All],4,FALSE)*Table112[[#This Row],[RUB]]</f>
        <v>0</v>
      </c>
      <c r="AH39">
        <f>VLOOKUP(Table15[[#Headers],[RUT]],Table2[#All],4,FALSE)*Table112[[#This Row],[RUT]]</f>
        <v>0</v>
      </c>
      <c r="AI39">
        <f>VLOOKUP(Table15[[#Headers],[SCA]],Table2[#All],4,FALSE)*Table112[[#This Row],[SCA]]</f>
        <v>0</v>
      </c>
      <c r="AJ39">
        <f>VLOOKUP(Table15[[#Headers],[SIL]],Table2[#All],4,FALSE)*Table112[[#This Row],[SIL]]</f>
        <v>0</v>
      </c>
      <c r="AK39">
        <f>VLOOKUP(Table15[[#Headers],[SLV]],Table2[#All],4,FALSE)*Table112[[#This Row],[SLV]]</f>
        <v>0</v>
      </c>
      <c r="AL39">
        <f>VLOOKUP(Table15[[#Headers],[TAN]],Table2[#All],4,FALSE)*Table112[[#This Row],[TAN]]</f>
        <v>0</v>
      </c>
      <c r="AM39">
        <f>VLOOKUP(Table15[[#Headers],[TEL]],Table2[#All],4,FALSE)*Table112[[#This Row],[TEL]]</f>
        <v>0</v>
      </c>
      <c r="AN39">
        <f>VLOOKUP(Table15[[#Headers],[TIN]],Table2[#All],4,FALSE)*Table112[[#This Row],[TIN]]</f>
        <v>0</v>
      </c>
      <c r="AO39">
        <f>VLOOKUP(Table15[[#Headers],[TIT]],Table2[#All],4,FALSE)*Table112[[#This Row],[TIT]]</f>
        <v>0</v>
      </c>
      <c r="AP39">
        <f>VLOOKUP(Table15[[#Headers],[TUN]],Table2[#All],4,FALSE)*Table112[[#This Row],[TUN]]</f>
        <v>0</v>
      </c>
      <c r="AQ39">
        <f>VLOOKUP(Table15[[#Headers],[URA]],Table2[#All],4,FALSE)*Table112[[#This Row],[URA]]</f>
        <v>0</v>
      </c>
      <c r="AR39">
        <f>VLOOKUP(Table15[[#Headers],[VAN]],Table2[#All],4,FALSE)*Table112[[#This Row],[VAN]]</f>
        <v>0</v>
      </c>
      <c r="AS39">
        <f>VLOOKUP(Table15[[#Headers],[ZIN]],Table2[#All],4,FALSE)*Table112[[#This Row],[ZIN]]</f>
        <v>0</v>
      </c>
      <c r="AT39">
        <f>VLOOKUP(Table15[[#Headers],[ZIR]],Table2[#All],4,FALSE)*Table112[[#This Row],[ZIR]]</f>
        <v>0</v>
      </c>
      <c r="AU39">
        <f>VLOOKUP(Table15[[#Headers],[REE]],Table2[#All],4,FALSE)*Table112[[#This Row],[REE]]</f>
        <v>0.30769230769230771</v>
      </c>
      <c r="AV39">
        <f t="shared" si="1"/>
        <v>1.1076923076923078</v>
      </c>
    </row>
    <row r="40" spans="1:48">
      <c r="A40" t="s">
        <v>649</v>
      </c>
      <c r="B40">
        <f>VLOOKUP(Table15[[#Headers],[ALU]],Table2[#All],4,FALSE)*Table112[[#This Row],[ALU]]</f>
        <v>0.66666666666666663</v>
      </c>
      <c r="C40">
        <f>VLOOKUP(Table15[[#Headers],[ANT]],Table2[#All],4,FALSE)*Table112[[#This Row],[ANT]]</f>
        <v>0</v>
      </c>
      <c r="D40">
        <f>VLOOKUP(Table15[[#Headers],[ARS]],Table2[#All],4,FALSE)</f>
        <v>0.8</v>
      </c>
      <c r="E40">
        <f>VLOOKUP(Table15[[#Headers],[BAR]],Table2[#All],4,FALSE)*Table112[[#This Row],[BAR]]</f>
        <v>0</v>
      </c>
      <c r="F40">
        <f>VLOOKUP(Table15[[#Headers],[BER]],Table2[#All],4,FALSE)*Table112[[#This Row],[BER]]</f>
        <v>0</v>
      </c>
      <c r="G40">
        <f>VLOOKUP(Table15[[#Headers],[BIS]],Table2[#All],4,FALSE)*Table112[[#This Row],[BIS]]</f>
        <v>0</v>
      </c>
      <c r="H40">
        <f>VLOOKUP(Table15[[#Headers],[BOR]],Table2[#All],4,FALSE)*Table112[[#This Row],[BOR]]</f>
        <v>0</v>
      </c>
      <c r="I40">
        <f>VLOOKUP(Table15[[#Headers],[CES]],Table2[#All],4,FALSE)*Table112[[#This Row],[CES]]</f>
        <v>0</v>
      </c>
      <c r="J40">
        <f>VLOOKUP(Table15[[#Headers],[CHR]],Table2[#All],4,FALSE)*Table112[[#This Row],[CHR]]</f>
        <v>0</v>
      </c>
      <c r="K40">
        <f>VLOOKUP(Table15[[#Headers],[COB]],Table2[#All],4,FALSE)*Table112[[#This Row],[COB]]</f>
        <v>0</v>
      </c>
      <c r="L40">
        <f>VLOOKUP(Table15[[#Headers],[COP]],Table2[#All],4,FALSE)*Table112[[#This Row],[COP]]</f>
        <v>0</v>
      </c>
      <c r="M40">
        <f>VLOOKUP(Table15[[#Headers],[FLU]],Table2[#All],4,FALSE)*Table112[[#This Row],[FLU]]</f>
        <v>0</v>
      </c>
      <c r="N40">
        <f>VLOOKUP(Table15[[#Headers],[GAL]],Table2[#All],4,FALSE)*Table112[[#This Row],[GAL]]</f>
        <v>0</v>
      </c>
      <c r="O40">
        <f>VLOOKUP(Table15[[#Headers],[GER]],Table2[#All],4,FALSE)*Table112[[#This Row],[GER]]</f>
        <v>0</v>
      </c>
      <c r="P40">
        <f>VLOOKUP(Table15[[#Headers],[GRA]],Table2[#All],4,FALSE)*Table112[[#This Row],[GRA]]</f>
        <v>0</v>
      </c>
      <c r="Q40">
        <f>VLOOKUP(Table15[[#Headers],[HAF]],Table2[#All],4,FALSE)*Table112[[#This Row],[HAF]]</f>
        <v>0</v>
      </c>
      <c r="R40">
        <f>VLOOKUP(Table15[[#Headers],[IND]],Table2[#All],4,FALSE)*Table112[[#This Row],[IND]]</f>
        <v>0</v>
      </c>
      <c r="S40">
        <f>VLOOKUP(Table15[[#Headers],[IRI]],Table2[#All],4,FALSE)*Table112[[#This Row],[IRI]]</f>
        <v>0</v>
      </c>
      <c r="T40">
        <f>VLOOKUP(Table15[[#Headers],[LED]],Table2[#All],4,FALSE)*Table112[[#This Row],[LED]]</f>
        <v>0</v>
      </c>
      <c r="U40">
        <f>VLOOKUP(Table15[[#Headers],[LIT]],Table2[#All],4,FALSE)*Table112[[#This Row],[LIT]]</f>
        <v>0</v>
      </c>
      <c r="V40">
        <f>VLOOKUP(Table15[[#Headers],[MAG]],Table2[#All],4,FALSE)*Table112[[#This Row],[MAG]]</f>
        <v>0</v>
      </c>
      <c r="W40">
        <f>VLOOKUP(Table15[[#Headers],[MAN]],Table2[#All],4,FALSE)*Table112[[#This Row],[MAN]]</f>
        <v>0</v>
      </c>
      <c r="X40">
        <f>VLOOKUP(Table15[[#Headers],[MCO]],Table2[#All],4,FALSE)*Table112[[#This Row],[MCO]]</f>
        <v>0</v>
      </c>
      <c r="Y40">
        <f>VLOOKUP(Table15[[#Headers],[NIC]],Table2[#All],4,FALSE)*Table112[[#This Row],[NIC]]</f>
        <v>0</v>
      </c>
      <c r="Z40">
        <f>VLOOKUP(Table15[[#Headers],[NIO]],Table2[#All],4,FALSE)*Table112[[#This Row],[NIO]]</f>
        <v>0</v>
      </c>
      <c r="AA40">
        <f>VLOOKUP(Table15[[#Headers],[PAL]],Table2[#All],4,FALSE)*Table112[[#This Row],[PAL]]</f>
        <v>0</v>
      </c>
      <c r="AB40">
        <f>VLOOKUP(Table15[[#Headers],[PHO]],Table2[#All],4,FALSE)*Table112[[#This Row],[PHO]]</f>
        <v>0</v>
      </c>
      <c r="AC40">
        <f>VLOOKUP(Table15[[#Headers],[PLA]],Table2[#All],4,FALSE)*Table112[[#This Row],[PLA]]</f>
        <v>0</v>
      </c>
      <c r="AD40">
        <f>VLOOKUP(Table15[[#Headers],[POT]],Table2[#All],4,FALSE)*Table112[[#This Row],[POT]]</f>
        <v>0</v>
      </c>
      <c r="AE40">
        <f>VLOOKUP(Table15[[#Headers],[RHE]],Table2[#All],4,FALSE)*Table112[[#This Row],[RHE]]</f>
        <v>0</v>
      </c>
      <c r="AF40">
        <f>VLOOKUP(Table15[[#Headers],[RHO]],Table2[#All],4,FALSE)*Table112[[#This Row],[RHO]]</f>
        <v>0</v>
      </c>
      <c r="AG40">
        <f>VLOOKUP(Table15[[#Headers],[RUB]],Table2[#All],4,FALSE)*Table112[[#This Row],[RUB]]</f>
        <v>0</v>
      </c>
      <c r="AH40">
        <f>VLOOKUP(Table15[[#Headers],[RUT]],Table2[#All],4,FALSE)*Table112[[#This Row],[RUT]]</f>
        <v>0</v>
      </c>
      <c r="AI40">
        <f>VLOOKUP(Table15[[#Headers],[SCA]],Table2[#All],4,FALSE)*Table112[[#This Row],[SCA]]</f>
        <v>0</v>
      </c>
      <c r="AJ40">
        <f>VLOOKUP(Table15[[#Headers],[SIL]],Table2[#All],4,FALSE)*Table112[[#This Row],[SIL]]</f>
        <v>0</v>
      </c>
      <c r="AK40">
        <f>VLOOKUP(Table15[[#Headers],[SLV]],Table2[#All],4,FALSE)*Table112[[#This Row],[SLV]]</f>
        <v>0</v>
      </c>
      <c r="AL40">
        <f>VLOOKUP(Table15[[#Headers],[TAN]],Table2[#All],4,FALSE)*Table112[[#This Row],[TAN]]</f>
        <v>0</v>
      </c>
      <c r="AM40">
        <f>VLOOKUP(Table15[[#Headers],[TEL]],Table2[#All],4,FALSE)*Table112[[#This Row],[TEL]]</f>
        <v>0</v>
      </c>
      <c r="AN40">
        <f>VLOOKUP(Table15[[#Headers],[TIN]],Table2[#All],4,FALSE)*Table112[[#This Row],[TIN]]</f>
        <v>0</v>
      </c>
      <c r="AO40">
        <f>VLOOKUP(Table15[[#Headers],[TIT]],Table2[#All],4,FALSE)*Table112[[#This Row],[TIT]]</f>
        <v>0</v>
      </c>
      <c r="AP40">
        <f>VLOOKUP(Table15[[#Headers],[TUN]],Table2[#All],4,FALSE)*Table112[[#This Row],[TUN]]</f>
        <v>0</v>
      </c>
      <c r="AQ40">
        <f>VLOOKUP(Table15[[#Headers],[URA]],Table2[#All],4,FALSE)*Table112[[#This Row],[URA]]</f>
        <v>0</v>
      </c>
      <c r="AR40">
        <f>VLOOKUP(Table15[[#Headers],[VAN]],Table2[#All],4,FALSE)*Table112[[#This Row],[VAN]]</f>
        <v>0</v>
      </c>
      <c r="AS40">
        <f>VLOOKUP(Table15[[#Headers],[ZIN]],Table2[#All],4,FALSE)*Table112[[#This Row],[ZIN]]</f>
        <v>0</v>
      </c>
      <c r="AT40">
        <f>VLOOKUP(Table15[[#Headers],[ZIR]],Table2[#All],4,FALSE)*Table112[[#This Row],[ZIR]]</f>
        <v>0</v>
      </c>
      <c r="AU40">
        <f>VLOOKUP(Table15[[#Headers],[REE]],Table2[#All],4,FALSE)*Table112[[#This Row],[REE]]</f>
        <v>0</v>
      </c>
      <c r="AV40">
        <f t="shared" si="1"/>
        <v>1.4666666666666668</v>
      </c>
    </row>
    <row r="41" spans="1:48">
      <c r="A41" t="s">
        <v>638</v>
      </c>
      <c r="B41">
        <f>VLOOKUP(Table15[[#Headers],[ALU]],Table2[#All],4,FALSE)*Table112[[#This Row],[ALU]]</f>
        <v>0.66666666666666663</v>
      </c>
      <c r="C41">
        <f>VLOOKUP(Table15[[#Headers],[ANT]],Table2[#All],4,FALSE)*Table112[[#This Row],[ANT]]</f>
        <v>0</v>
      </c>
      <c r="D41">
        <f>VLOOKUP(Table15[[#Headers],[ARS]],Table2[#All],4,FALSE)</f>
        <v>0.8</v>
      </c>
      <c r="E41">
        <f>VLOOKUP(Table15[[#Headers],[BAR]],Table2[#All],4,FALSE)*Table112[[#This Row],[BAR]]</f>
        <v>0</v>
      </c>
      <c r="F41">
        <f>VLOOKUP(Table15[[#Headers],[BER]],Table2[#All],4,FALSE)*Table112[[#This Row],[BER]]</f>
        <v>0</v>
      </c>
      <c r="G41">
        <f>VLOOKUP(Table15[[#Headers],[BIS]],Table2[#All],4,FALSE)*Table112[[#This Row],[BIS]]</f>
        <v>0</v>
      </c>
      <c r="H41">
        <f>VLOOKUP(Table15[[#Headers],[BOR]],Table2[#All],4,FALSE)*Table112[[#This Row],[BOR]]</f>
        <v>0</v>
      </c>
      <c r="I41">
        <f>VLOOKUP(Table15[[#Headers],[CES]],Table2[#All],4,FALSE)*Table112[[#This Row],[CES]]</f>
        <v>0</v>
      </c>
      <c r="J41">
        <f>VLOOKUP(Table15[[#Headers],[CHR]],Table2[#All],4,FALSE)*Table112[[#This Row],[CHR]]</f>
        <v>0</v>
      </c>
      <c r="K41">
        <f>VLOOKUP(Table15[[#Headers],[COB]],Table2[#All],4,FALSE)*Table112[[#This Row],[COB]]</f>
        <v>0</v>
      </c>
      <c r="L41">
        <f>VLOOKUP(Table15[[#Headers],[COP]],Table2[#All],4,FALSE)*Table112[[#This Row],[COP]]</f>
        <v>0</v>
      </c>
      <c r="M41">
        <f>VLOOKUP(Table15[[#Headers],[FLU]],Table2[#All],4,FALSE)*Table112[[#This Row],[FLU]]</f>
        <v>0</v>
      </c>
      <c r="N41">
        <f>VLOOKUP(Table15[[#Headers],[GAL]],Table2[#All],4,FALSE)*Table112[[#This Row],[GAL]]</f>
        <v>0</v>
      </c>
      <c r="O41">
        <f>VLOOKUP(Table15[[#Headers],[GER]],Table2[#All],4,FALSE)*Table112[[#This Row],[GER]]</f>
        <v>0</v>
      </c>
      <c r="P41">
        <f>VLOOKUP(Table15[[#Headers],[GRA]],Table2[#All],4,FALSE)*Table112[[#This Row],[GRA]]</f>
        <v>0</v>
      </c>
      <c r="Q41">
        <f>VLOOKUP(Table15[[#Headers],[HAF]],Table2[#All],4,FALSE)*Table112[[#This Row],[HAF]]</f>
        <v>0</v>
      </c>
      <c r="R41">
        <f>VLOOKUP(Table15[[#Headers],[IND]],Table2[#All],4,FALSE)*Table112[[#This Row],[IND]]</f>
        <v>0</v>
      </c>
      <c r="S41">
        <f>VLOOKUP(Table15[[#Headers],[IRI]],Table2[#All],4,FALSE)*Table112[[#This Row],[IRI]]</f>
        <v>0</v>
      </c>
      <c r="T41">
        <f>VLOOKUP(Table15[[#Headers],[LED]],Table2[#All],4,FALSE)*Table112[[#This Row],[LED]]</f>
        <v>0</v>
      </c>
      <c r="U41">
        <f>VLOOKUP(Table15[[#Headers],[LIT]],Table2[#All],4,FALSE)*Table112[[#This Row],[LIT]]</f>
        <v>0</v>
      </c>
      <c r="V41">
        <f>VLOOKUP(Table15[[#Headers],[MAG]],Table2[#All],4,FALSE)*Table112[[#This Row],[MAG]]</f>
        <v>0</v>
      </c>
      <c r="W41">
        <f>VLOOKUP(Table15[[#Headers],[MAN]],Table2[#All],4,FALSE)*Table112[[#This Row],[MAN]]</f>
        <v>0</v>
      </c>
      <c r="X41">
        <f>VLOOKUP(Table15[[#Headers],[MCO]],Table2[#All],4,FALSE)*Table112[[#This Row],[MCO]]</f>
        <v>0</v>
      </c>
      <c r="Y41">
        <f>VLOOKUP(Table15[[#Headers],[NIC]],Table2[#All],4,FALSE)*Table112[[#This Row],[NIC]]</f>
        <v>0</v>
      </c>
      <c r="Z41">
        <f>VLOOKUP(Table15[[#Headers],[NIO]],Table2[#All],4,FALSE)*Table112[[#This Row],[NIO]]</f>
        <v>0</v>
      </c>
      <c r="AA41">
        <f>VLOOKUP(Table15[[#Headers],[PAL]],Table2[#All],4,FALSE)*Table112[[#This Row],[PAL]]</f>
        <v>0</v>
      </c>
      <c r="AB41">
        <f>VLOOKUP(Table15[[#Headers],[PHO]],Table2[#All],4,FALSE)*Table112[[#This Row],[PHO]]</f>
        <v>0</v>
      </c>
      <c r="AC41">
        <f>VLOOKUP(Table15[[#Headers],[PLA]],Table2[#All],4,FALSE)*Table112[[#This Row],[PLA]]</f>
        <v>0</v>
      </c>
      <c r="AD41">
        <f>VLOOKUP(Table15[[#Headers],[POT]],Table2[#All],4,FALSE)*Table112[[#This Row],[POT]]</f>
        <v>0</v>
      </c>
      <c r="AE41">
        <f>VLOOKUP(Table15[[#Headers],[RHE]],Table2[#All],4,FALSE)*Table112[[#This Row],[RHE]]</f>
        <v>0</v>
      </c>
      <c r="AF41">
        <f>VLOOKUP(Table15[[#Headers],[RHO]],Table2[#All],4,FALSE)*Table112[[#This Row],[RHO]]</f>
        <v>0</v>
      </c>
      <c r="AG41">
        <f>VLOOKUP(Table15[[#Headers],[RUB]],Table2[#All],4,FALSE)*Table112[[#This Row],[RUB]]</f>
        <v>0</v>
      </c>
      <c r="AH41">
        <f>VLOOKUP(Table15[[#Headers],[RUT]],Table2[#All],4,FALSE)*Table112[[#This Row],[RUT]]</f>
        <v>0</v>
      </c>
      <c r="AI41">
        <f>VLOOKUP(Table15[[#Headers],[SCA]],Table2[#All],4,FALSE)*Table112[[#This Row],[SCA]]</f>
        <v>0</v>
      </c>
      <c r="AJ41">
        <f>VLOOKUP(Table15[[#Headers],[SIL]],Table2[#All],4,FALSE)*Table112[[#This Row],[SIL]]</f>
        <v>0</v>
      </c>
      <c r="AK41">
        <f>VLOOKUP(Table15[[#Headers],[SLV]],Table2[#All],4,FALSE)*Table112[[#This Row],[SLV]]</f>
        <v>0</v>
      </c>
      <c r="AL41">
        <f>VLOOKUP(Table15[[#Headers],[TAN]],Table2[#All],4,FALSE)*Table112[[#This Row],[TAN]]</f>
        <v>0</v>
      </c>
      <c r="AM41">
        <f>VLOOKUP(Table15[[#Headers],[TEL]],Table2[#All],4,FALSE)*Table112[[#This Row],[TEL]]</f>
        <v>0</v>
      </c>
      <c r="AN41">
        <f>VLOOKUP(Table15[[#Headers],[TIN]],Table2[#All],4,FALSE)*Table112[[#This Row],[TIN]]</f>
        <v>0</v>
      </c>
      <c r="AO41">
        <f>VLOOKUP(Table15[[#Headers],[TIT]],Table2[#All],4,FALSE)*Table112[[#This Row],[TIT]]</f>
        <v>0</v>
      </c>
      <c r="AP41">
        <f>VLOOKUP(Table15[[#Headers],[TUN]],Table2[#All],4,FALSE)*Table112[[#This Row],[TUN]]</f>
        <v>0</v>
      </c>
      <c r="AQ41">
        <f>VLOOKUP(Table15[[#Headers],[URA]],Table2[#All],4,FALSE)*Table112[[#This Row],[URA]]</f>
        <v>0</v>
      </c>
      <c r="AR41">
        <f>VLOOKUP(Table15[[#Headers],[VAN]],Table2[#All],4,FALSE)*Table112[[#This Row],[VAN]]</f>
        <v>0</v>
      </c>
      <c r="AS41">
        <f>VLOOKUP(Table15[[#Headers],[ZIN]],Table2[#All],4,FALSE)*Table112[[#This Row],[ZIN]]</f>
        <v>0</v>
      </c>
      <c r="AT41">
        <f>VLOOKUP(Table15[[#Headers],[ZIR]],Table2[#All],4,FALSE)*Table112[[#This Row],[ZIR]]</f>
        <v>0</v>
      </c>
      <c r="AU41">
        <f>VLOOKUP(Table15[[#Headers],[REE]],Table2[#All],4,FALSE)*Table112[[#This Row],[REE]]</f>
        <v>0</v>
      </c>
      <c r="AV41">
        <f t="shared" si="1"/>
        <v>1.4666666666666668</v>
      </c>
    </row>
    <row r="42" spans="1:48">
      <c r="A42" t="s">
        <v>525</v>
      </c>
      <c r="B42">
        <f>VLOOKUP(Table15[[#Headers],[ALU]],Table2[#All],4,FALSE)*Table112[[#This Row],[ALU]]</f>
        <v>0</v>
      </c>
      <c r="C42">
        <f>VLOOKUP(Table15[[#Headers],[ANT]],Table2[#All],4,FALSE)*Table112[[#This Row],[ANT]]</f>
        <v>0</v>
      </c>
      <c r="D42">
        <f>VLOOKUP(Table15[[#Headers],[ARS]],Table2[#All],4,FALSE)</f>
        <v>0.8</v>
      </c>
      <c r="E42">
        <f>VLOOKUP(Table15[[#Headers],[BAR]],Table2[#All],4,FALSE)*Table112[[#This Row],[BAR]]</f>
        <v>0</v>
      </c>
      <c r="F42">
        <f>VLOOKUP(Table15[[#Headers],[BER]],Table2[#All],4,FALSE)*Table112[[#This Row],[BER]]</f>
        <v>0</v>
      </c>
      <c r="G42">
        <f>VLOOKUP(Table15[[#Headers],[BIS]],Table2[#All],4,FALSE)*Table112[[#This Row],[BIS]]</f>
        <v>0</v>
      </c>
      <c r="H42">
        <f>VLOOKUP(Table15[[#Headers],[BOR]],Table2[#All],4,FALSE)*Table112[[#This Row],[BOR]]</f>
        <v>0</v>
      </c>
      <c r="I42">
        <f>VLOOKUP(Table15[[#Headers],[CES]],Table2[#All],4,FALSE)*Table112[[#This Row],[CES]]</f>
        <v>0</v>
      </c>
      <c r="J42">
        <f>VLOOKUP(Table15[[#Headers],[CHR]],Table2[#All],4,FALSE)*Table112[[#This Row],[CHR]]</f>
        <v>0</v>
      </c>
      <c r="K42">
        <f>VLOOKUP(Table15[[#Headers],[COB]],Table2[#All],4,FALSE)*Table112[[#This Row],[COB]]</f>
        <v>0</v>
      </c>
      <c r="L42">
        <f>VLOOKUP(Table15[[#Headers],[COP]],Table2[#All],4,FALSE)*Table112[[#This Row],[COP]]</f>
        <v>0</v>
      </c>
      <c r="M42">
        <f>VLOOKUP(Table15[[#Headers],[FLU]],Table2[#All],4,FALSE)*Table112[[#This Row],[FLU]]</f>
        <v>0</v>
      </c>
      <c r="N42">
        <f>VLOOKUP(Table15[[#Headers],[GAL]],Table2[#All],4,FALSE)*Table112[[#This Row],[GAL]]</f>
        <v>0</v>
      </c>
      <c r="O42">
        <f>VLOOKUP(Table15[[#Headers],[GER]],Table2[#All],4,FALSE)*Table112[[#This Row],[GER]]</f>
        <v>0</v>
      </c>
      <c r="P42">
        <f>VLOOKUP(Table15[[#Headers],[GRA]],Table2[#All],4,FALSE)*Table112[[#This Row],[GRA]]</f>
        <v>0</v>
      </c>
      <c r="Q42">
        <f>VLOOKUP(Table15[[#Headers],[HAF]],Table2[#All],4,FALSE)*Table112[[#This Row],[HAF]]</f>
        <v>0</v>
      </c>
      <c r="R42">
        <f>VLOOKUP(Table15[[#Headers],[IND]],Table2[#All],4,FALSE)*Table112[[#This Row],[IND]]</f>
        <v>0</v>
      </c>
      <c r="S42">
        <f>VLOOKUP(Table15[[#Headers],[IRI]],Table2[#All],4,FALSE)*Table112[[#This Row],[IRI]]</f>
        <v>0</v>
      </c>
      <c r="T42">
        <f>VLOOKUP(Table15[[#Headers],[LED]],Table2[#All],4,FALSE)*Table112[[#This Row],[LED]]</f>
        <v>0</v>
      </c>
      <c r="U42">
        <f>VLOOKUP(Table15[[#Headers],[LIT]],Table2[#All],4,FALSE)*Table112[[#This Row],[LIT]]</f>
        <v>0</v>
      </c>
      <c r="V42">
        <f>VLOOKUP(Table15[[#Headers],[MAG]],Table2[#All],4,FALSE)*Table112[[#This Row],[MAG]]</f>
        <v>0</v>
      </c>
      <c r="W42">
        <f>VLOOKUP(Table15[[#Headers],[MAN]],Table2[#All],4,FALSE)*Table112[[#This Row],[MAN]]</f>
        <v>0</v>
      </c>
      <c r="X42">
        <f>VLOOKUP(Table15[[#Headers],[MCO]],Table2[#All],4,FALSE)*Table112[[#This Row],[MCO]]</f>
        <v>0</v>
      </c>
      <c r="Y42">
        <f>VLOOKUP(Table15[[#Headers],[NIC]],Table2[#All],4,FALSE)*Table112[[#This Row],[NIC]]</f>
        <v>0</v>
      </c>
      <c r="Z42">
        <f>VLOOKUP(Table15[[#Headers],[NIO]],Table2[#All],4,FALSE)*Table112[[#This Row],[NIO]]</f>
        <v>0</v>
      </c>
      <c r="AA42">
        <f>VLOOKUP(Table15[[#Headers],[PAL]],Table2[#All],4,FALSE)*Table112[[#This Row],[PAL]]</f>
        <v>0</v>
      </c>
      <c r="AB42">
        <f>VLOOKUP(Table15[[#Headers],[PHO]],Table2[#All],4,FALSE)*Table112[[#This Row],[PHO]]</f>
        <v>0</v>
      </c>
      <c r="AC42">
        <f>VLOOKUP(Table15[[#Headers],[PLA]],Table2[#All],4,FALSE)*Table112[[#This Row],[PLA]]</f>
        <v>0</v>
      </c>
      <c r="AD42">
        <f>VLOOKUP(Table15[[#Headers],[POT]],Table2[#All],4,FALSE)*Table112[[#This Row],[POT]]</f>
        <v>0</v>
      </c>
      <c r="AE42">
        <f>VLOOKUP(Table15[[#Headers],[RHE]],Table2[#All],4,FALSE)*Table112[[#This Row],[RHE]]</f>
        <v>0</v>
      </c>
      <c r="AF42">
        <f>VLOOKUP(Table15[[#Headers],[RHO]],Table2[#All],4,FALSE)*Table112[[#This Row],[RHO]]</f>
        <v>0</v>
      </c>
      <c r="AG42">
        <f>VLOOKUP(Table15[[#Headers],[RUB]],Table2[#All],4,FALSE)*Table112[[#This Row],[RUB]]</f>
        <v>0</v>
      </c>
      <c r="AH42">
        <f>VLOOKUP(Table15[[#Headers],[RUT]],Table2[#All],4,FALSE)*Table112[[#This Row],[RUT]]</f>
        <v>0</v>
      </c>
      <c r="AI42">
        <f>VLOOKUP(Table15[[#Headers],[SCA]],Table2[#All],4,FALSE)*Table112[[#This Row],[SCA]]</f>
        <v>0</v>
      </c>
      <c r="AJ42">
        <f>VLOOKUP(Table15[[#Headers],[SIL]],Table2[#All],4,FALSE)*Table112[[#This Row],[SIL]]</f>
        <v>0</v>
      </c>
      <c r="AK42">
        <f>VLOOKUP(Table15[[#Headers],[SLV]],Table2[#All],4,FALSE)*Table112[[#This Row],[SLV]]</f>
        <v>0</v>
      </c>
      <c r="AL42">
        <f>VLOOKUP(Table15[[#Headers],[TAN]],Table2[#All],4,FALSE)*Table112[[#This Row],[TAN]]</f>
        <v>0</v>
      </c>
      <c r="AM42">
        <f>VLOOKUP(Table15[[#Headers],[TEL]],Table2[#All],4,FALSE)*Table112[[#This Row],[TEL]]</f>
        <v>0.8</v>
      </c>
      <c r="AN42">
        <f>VLOOKUP(Table15[[#Headers],[TIN]],Table2[#All],4,FALSE)*Table112[[#This Row],[TIN]]</f>
        <v>0</v>
      </c>
      <c r="AO42">
        <f>VLOOKUP(Table15[[#Headers],[TIT]],Table2[#All],4,FALSE)*Table112[[#This Row],[TIT]]</f>
        <v>0</v>
      </c>
      <c r="AP42">
        <f>VLOOKUP(Table15[[#Headers],[TUN]],Table2[#All],4,FALSE)*Table112[[#This Row],[TUN]]</f>
        <v>0</v>
      </c>
      <c r="AQ42">
        <f>VLOOKUP(Table15[[#Headers],[URA]],Table2[#All],4,FALSE)*Table112[[#This Row],[URA]]</f>
        <v>0</v>
      </c>
      <c r="AR42">
        <f>VLOOKUP(Table15[[#Headers],[VAN]],Table2[#All],4,FALSE)*Table112[[#This Row],[VAN]]</f>
        <v>0</v>
      </c>
      <c r="AS42">
        <f>VLOOKUP(Table15[[#Headers],[ZIN]],Table2[#All],4,FALSE)*Table112[[#This Row],[ZIN]]</f>
        <v>0</v>
      </c>
      <c r="AT42">
        <f>VLOOKUP(Table15[[#Headers],[ZIR]],Table2[#All],4,FALSE)*Table112[[#This Row],[ZIR]]</f>
        <v>0</v>
      </c>
      <c r="AU42">
        <f>VLOOKUP(Table15[[#Headers],[REE]],Table2[#All],4,FALSE)*Table112[[#This Row],[REE]]</f>
        <v>0</v>
      </c>
      <c r="AV42">
        <f t="shared" si="1"/>
        <v>1.6</v>
      </c>
    </row>
    <row r="43" spans="1:48">
      <c r="A43" t="s">
        <v>683</v>
      </c>
      <c r="B43">
        <f>VLOOKUP(Table15[[#Headers],[ALU]],Table2[#All],4,FALSE)*Table112[[#This Row],[ALU]]</f>
        <v>0</v>
      </c>
      <c r="C43">
        <f>VLOOKUP(Table15[[#Headers],[ANT]],Table2[#All],4,FALSE)*Table112[[#This Row],[ANT]]</f>
        <v>0</v>
      </c>
      <c r="D43">
        <f>VLOOKUP(Table15[[#Headers],[ARS]],Table2[#All],4,FALSE)</f>
        <v>0.8</v>
      </c>
      <c r="E43">
        <f>VLOOKUP(Table15[[#Headers],[BAR]],Table2[#All],4,FALSE)*Table112[[#This Row],[BAR]]</f>
        <v>0</v>
      </c>
      <c r="F43">
        <f>VLOOKUP(Table15[[#Headers],[BER]],Table2[#All],4,FALSE)*Table112[[#This Row],[BER]]</f>
        <v>0</v>
      </c>
      <c r="G43">
        <f>VLOOKUP(Table15[[#Headers],[BIS]],Table2[#All],4,FALSE)*Table112[[#This Row],[BIS]]</f>
        <v>0</v>
      </c>
      <c r="H43">
        <f>VLOOKUP(Table15[[#Headers],[BOR]],Table2[#All],4,FALSE)*Table112[[#This Row],[BOR]]</f>
        <v>0</v>
      </c>
      <c r="I43">
        <f>VLOOKUP(Table15[[#Headers],[CES]],Table2[#All],4,FALSE)*Table112[[#This Row],[CES]]</f>
        <v>0</v>
      </c>
      <c r="J43">
        <f>VLOOKUP(Table15[[#Headers],[CHR]],Table2[#All],4,FALSE)*Table112[[#This Row],[CHR]]</f>
        <v>0</v>
      </c>
      <c r="K43">
        <f>VLOOKUP(Table15[[#Headers],[COB]],Table2[#All],4,FALSE)*Table112[[#This Row],[COB]]</f>
        <v>0</v>
      </c>
      <c r="L43">
        <f>VLOOKUP(Table15[[#Headers],[COP]],Table2[#All],4,FALSE)*Table112[[#This Row],[COP]]</f>
        <v>0</v>
      </c>
      <c r="M43">
        <f>VLOOKUP(Table15[[#Headers],[FLU]],Table2[#All],4,FALSE)*Table112[[#This Row],[FLU]]</f>
        <v>0</v>
      </c>
      <c r="N43">
        <f>VLOOKUP(Table15[[#Headers],[GAL]],Table2[#All],4,FALSE)*Table112[[#This Row],[GAL]]</f>
        <v>0</v>
      </c>
      <c r="O43">
        <f>VLOOKUP(Table15[[#Headers],[GER]],Table2[#All],4,FALSE)*Table112[[#This Row],[GER]]</f>
        <v>0</v>
      </c>
      <c r="P43">
        <f>VLOOKUP(Table15[[#Headers],[GRA]],Table2[#All],4,FALSE)*Table112[[#This Row],[GRA]]</f>
        <v>0</v>
      </c>
      <c r="Q43">
        <f>VLOOKUP(Table15[[#Headers],[HAF]],Table2[#All],4,FALSE)*Table112[[#This Row],[HAF]]</f>
        <v>0</v>
      </c>
      <c r="R43">
        <f>VLOOKUP(Table15[[#Headers],[IND]],Table2[#All],4,FALSE)*Table112[[#This Row],[IND]]</f>
        <v>0</v>
      </c>
      <c r="S43">
        <f>VLOOKUP(Table15[[#Headers],[IRI]],Table2[#All],4,FALSE)*Table112[[#This Row],[IRI]]</f>
        <v>0</v>
      </c>
      <c r="T43">
        <f>VLOOKUP(Table15[[#Headers],[LED]],Table2[#All],4,FALSE)*Table112[[#This Row],[LED]]</f>
        <v>0</v>
      </c>
      <c r="U43">
        <f>VLOOKUP(Table15[[#Headers],[LIT]],Table2[#All],4,FALSE)*Table112[[#This Row],[LIT]]</f>
        <v>0</v>
      </c>
      <c r="V43">
        <f>VLOOKUP(Table15[[#Headers],[MAG]],Table2[#All],4,FALSE)*Table112[[#This Row],[MAG]]</f>
        <v>0</v>
      </c>
      <c r="W43">
        <f>VLOOKUP(Table15[[#Headers],[MAN]],Table2[#All],4,FALSE)*Table112[[#This Row],[MAN]]</f>
        <v>0</v>
      </c>
      <c r="X43">
        <f>VLOOKUP(Table15[[#Headers],[MCO]],Table2[#All],4,FALSE)*Table112[[#This Row],[MCO]]</f>
        <v>0</v>
      </c>
      <c r="Y43">
        <f>VLOOKUP(Table15[[#Headers],[NIC]],Table2[#All],4,FALSE)*Table112[[#This Row],[NIC]]</f>
        <v>0</v>
      </c>
      <c r="Z43">
        <f>VLOOKUP(Table15[[#Headers],[NIO]],Table2[#All],4,FALSE)*Table112[[#This Row],[NIO]]</f>
        <v>0</v>
      </c>
      <c r="AA43">
        <f>VLOOKUP(Table15[[#Headers],[PAL]],Table2[#All],4,FALSE)*Table112[[#This Row],[PAL]]</f>
        <v>0</v>
      </c>
      <c r="AB43">
        <f>VLOOKUP(Table15[[#Headers],[PHO]],Table2[#All],4,FALSE)*Table112[[#This Row],[PHO]]</f>
        <v>0.8</v>
      </c>
      <c r="AC43">
        <f>VLOOKUP(Table15[[#Headers],[PLA]],Table2[#All],4,FALSE)*Table112[[#This Row],[PLA]]</f>
        <v>0</v>
      </c>
      <c r="AD43">
        <f>VLOOKUP(Table15[[#Headers],[POT]],Table2[#All],4,FALSE)*Table112[[#This Row],[POT]]</f>
        <v>0</v>
      </c>
      <c r="AE43">
        <f>VLOOKUP(Table15[[#Headers],[RHE]],Table2[#All],4,FALSE)*Table112[[#This Row],[RHE]]</f>
        <v>0</v>
      </c>
      <c r="AF43">
        <f>VLOOKUP(Table15[[#Headers],[RHO]],Table2[#All],4,FALSE)*Table112[[#This Row],[RHO]]</f>
        <v>0</v>
      </c>
      <c r="AG43">
        <f>VLOOKUP(Table15[[#Headers],[RUB]],Table2[#All],4,FALSE)*Table112[[#This Row],[RUB]]</f>
        <v>0</v>
      </c>
      <c r="AH43">
        <f>VLOOKUP(Table15[[#Headers],[RUT]],Table2[#All],4,FALSE)*Table112[[#This Row],[RUT]]</f>
        <v>0</v>
      </c>
      <c r="AI43">
        <f>VLOOKUP(Table15[[#Headers],[SCA]],Table2[#All],4,FALSE)*Table112[[#This Row],[SCA]]</f>
        <v>0</v>
      </c>
      <c r="AJ43">
        <f>VLOOKUP(Table15[[#Headers],[SIL]],Table2[#All],4,FALSE)*Table112[[#This Row],[SIL]]</f>
        <v>0</v>
      </c>
      <c r="AK43">
        <f>VLOOKUP(Table15[[#Headers],[SLV]],Table2[#All],4,FALSE)*Table112[[#This Row],[SLV]]</f>
        <v>0</v>
      </c>
      <c r="AL43">
        <f>VLOOKUP(Table15[[#Headers],[TAN]],Table2[#All],4,FALSE)*Table112[[#This Row],[TAN]]</f>
        <v>0</v>
      </c>
      <c r="AM43">
        <f>VLOOKUP(Table15[[#Headers],[TEL]],Table2[#All],4,FALSE)*Table112[[#This Row],[TEL]]</f>
        <v>0</v>
      </c>
      <c r="AN43">
        <f>VLOOKUP(Table15[[#Headers],[TIN]],Table2[#All],4,FALSE)*Table112[[#This Row],[TIN]]</f>
        <v>0</v>
      </c>
      <c r="AO43">
        <f>VLOOKUP(Table15[[#Headers],[TIT]],Table2[#All],4,FALSE)*Table112[[#This Row],[TIT]]</f>
        <v>0</v>
      </c>
      <c r="AP43">
        <f>VLOOKUP(Table15[[#Headers],[TUN]],Table2[#All],4,FALSE)*Table112[[#This Row],[TUN]]</f>
        <v>0</v>
      </c>
      <c r="AQ43">
        <f>VLOOKUP(Table15[[#Headers],[URA]],Table2[#All],4,FALSE)*Table112[[#This Row],[URA]]</f>
        <v>0</v>
      </c>
      <c r="AR43">
        <f>VLOOKUP(Table15[[#Headers],[VAN]],Table2[#All],4,FALSE)*Table112[[#This Row],[VAN]]</f>
        <v>0</v>
      </c>
      <c r="AS43">
        <f>VLOOKUP(Table15[[#Headers],[ZIN]],Table2[#All],4,FALSE)*Table112[[#This Row],[ZIN]]</f>
        <v>0</v>
      </c>
      <c r="AT43">
        <f>VLOOKUP(Table15[[#Headers],[ZIR]],Table2[#All],4,FALSE)*Table112[[#This Row],[ZIR]]</f>
        <v>0</v>
      </c>
      <c r="AU43">
        <f>VLOOKUP(Table15[[#Headers],[REE]],Table2[#All],4,FALSE)*Table112[[#This Row],[REE]]</f>
        <v>0</v>
      </c>
      <c r="AV43">
        <f t="shared" si="1"/>
        <v>1.6</v>
      </c>
    </row>
    <row r="44" spans="1:48">
      <c r="A44" t="s">
        <v>594</v>
      </c>
      <c r="B44">
        <f>VLOOKUP(Table15[[#Headers],[ALU]],Table2[#All],4,FALSE)*Table112[[#This Row],[ALU]]</f>
        <v>0</v>
      </c>
      <c r="C44">
        <f>VLOOKUP(Table15[[#Headers],[ANT]],Table2[#All],4,FALSE)*Table112[[#This Row],[ANT]]</f>
        <v>0</v>
      </c>
      <c r="D44">
        <f>VLOOKUP(Table15[[#Headers],[ARS]],Table2[#All],4,FALSE)</f>
        <v>0.8</v>
      </c>
      <c r="E44">
        <f>VLOOKUP(Table15[[#Headers],[BAR]],Table2[#All],4,FALSE)*Table112[[#This Row],[BAR]]</f>
        <v>0</v>
      </c>
      <c r="F44">
        <f>VLOOKUP(Table15[[#Headers],[BER]],Table2[#All],4,FALSE)*Table112[[#This Row],[BER]]</f>
        <v>0</v>
      </c>
      <c r="G44">
        <f>VLOOKUP(Table15[[#Headers],[BIS]],Table2[#All],4,FALSE)*Table112[[#This Row],[BIS]]</f>
        <v>0</v>
      </c>
      <c r="H44">
        <f>VLOOKUP(Table15[[#Headers],[BOR]],Table2[#All],4,FALSE)*Table112[[#This Row],[BOR]]</f>
        <v>0</v>
      </c>
      <c r="I44">
        <f>VLOOKUP(Table15[[#Headers],[CES]],Table2[#All],4,FALSE)*Table112[[#This Row],[CES]]</f>
        <v>0</v>
      </c>
      <c r="J44">
        <f>VLOOKUP(Table15[[#Headers],[CHR]],Table2[#All],4,FALSE)*Table112[[#This Row],[CHR]]</f>
        <v>0</v>
      </c>
      <c r="K44">
        <f>VLOOKUP(Table15[[#Headers],[COB]],Table2[#All],4,FALSE)*Table112[[#This Row],[COB]]</f>
        <v>0</v>
      </c>
      <c r="L44">
        <f>VLOOKUP(Table15[[#Headers],[COP]],Table2[#All],4,FALSE)*Table112[[#This Row],[COP]]</f>
        <v>0</v>
      </c>
      <c r="M44">
        <f>VLOOKUP(Table15[[#Headers],[FLU]],Table2[#All],4,FALSE)*Table112[[#This Row],[FLU]]</f>
        <v>0</v>
      </c>
      <c r="N44">
        <f>VLOOKUP(Table15[[#Headers],[GAL]],Table2[#All],4,FALSE)*Table112[[#This Row],[GAL]]</f>
        <v>0</v>
      </c>
      <c r="O44">
        <f>VLOOKUP(Table15[[#Headers],[GER]],Table2[#All],4,FALSE)*Table112[[#This Row],[GER]]</f>
        <v>0</v>
      </c>
      <c r="P44">
        <f>VLOOKUP(Table15[[#Headers],[GRA]],Table2[#All],4,FALSE)*Table112[[#This Row],[GRA]]</f>
        <v>0</v>
      </c>
      <c r="Q44">
        <f>VLOOKUP(Table15[[#Headers],[HAF]],Table2[#All],4,FALSE)*Table112[[#This Row],[HAF]]</f>
        <v>0</v>
      </c>
      <c r="R44">
        <f>VLOOKUP(Table15[[#Headers],[IND]],Table2[#All],4,FALSE)*Table112[[#This Row],[IND]]</f>
        <v>0</v>
      </c>
      <c r="S44">
        <f>VLOOKUP(Table15[[#Headers],[IRI]],Table2[#All],4,FALSE)*Table112[[#This Row],[IRI]]</f>
        <v>0</v>
      </c>
      <c r="T44">
        <f>VLOOKUP(Table15[[#Headers],[LED]],Table2[#All],4,FALSE)*Table112[[#This Row],[LED]]</f>
        <v>0</v>
      </c>
      <c r="U44">
        <f>VLOOKUP(Table15[[#Headers],[LIT]],Table2[#All],4,FALSE)*Table112[[#This Row],[LIT]]</f>
        <v>0</v>
      </c>
      <c r="V44">
        <f>VLOOKUP(Table15[[#Headers],[MAG]],Table2[#All],4,FALSE)*Table112[[#This Row],[MAG]]</f>
        <v>0</v>
      </c>
      <c r="W44">
        <f>VLOOKUP(Table15[[#Headers],[MAN]],Table2[#All],4,FALSE)*Table112[[#This Row],[MAN]]</f>
        <v>0</v>
      </c>
      <c r="X44">
        <f>VLOOKUP(Table15[[#Headers],[MCO]],Table2[#All],4,FALSE)*Table112[[#This Row],[MCO]]</f>
        <v>0</v>
      </c>
      <c r="Y44">
        <f>VLOOKUP(Table15[[#Headers],[NIC]],Table2[#All],4,FALSE)*Table112[[#This Row],[NIC]]</f>
        <v>0</v>
      </c>
      <c r="Z44">
        <f>VLOOKUP(Table15[[#Headers],[NIO]],Table2[#All],4,FALSE)*Table112[[#This Row],[NIO]]</f>
        <v>0</v>
      </c>
      <c r="AA44">
        <f>VLOOKUP(Table15[[#Headers],[PAL]],Table2[#All],4,FALSE)*Table112[[#This Row],[PAL]]</f>
        <v>0</v>
      </c>
      <c r="AB44">
        <f>VLOOKUP(Table15[[#Headers],[PHO]],Table2[#All],4,FALSE)*Table112[[#This Row],[PHO]]</f>
        <v>0</v>
      </c>
      <c r="AC44">
        <f>VLOOKUP(Table15[[#Headers],[PLA]],Table2[#All],4,FALSE)*Table112[[#This Row],[PLA]]</f>
        <v>0</v>
      </c>
      <c r="AD44">
        <f>VLOOKUP(Table15[[#Headers],[POT]],Table2[#All],4,FALSE)*Table112[[#This Row],[POT]]</f>
        <v>0</v>
      </c>
      <c r="AE44">
        <f>VLOOKUP(Table15[[#Headers],[RHE]],Table2[#All],4,FALSE)*Table112[[#This Row],[RHE]]</f>
        <v>0</v>
      </c>
      <c r="AF44">
        <f>VLOOKUP(Table15[[#Headers],[RHO]],Table2[#All],4,FALSE)*Table112[[#This Row],[RHO]]</f>
        <v>0</v>
      </c>
      <c r="AG44">
        <f>VLOOKUP(Table15[[#Headers],[RUB]],Table2[#All],4,FALSE)*Table112[[#This Row],[RUB]]</f>
        <v>0</v>
      </c>
      <c r="AH44">
        <f>VLOOKUP(Table15[[#Headers],[RUT]],Table2[#All],4,FALSE)*Table112[[#This Row],[RUT]]</f>
        <v>0</v>
      </c>
      <c r="AI44">
        <f>VLOOKUP(Table15[[#Headers],[SCA]],Table2[#All],4,FALSE)*Table112[[#This Row],[SCA]]</f>
        <v>0</v>
      </c>
      <c r="AJ44">
        <f>VLOOKUP(Table15[[#Headers],[SIL]],Table2[#All],4,FALSE)*Table112[[#This Row],[SIL]]</f>
        <v>0</v>
      </c>
      <c r="AK44">
        <f>VLOOKUP(Table15[[#Headers],[SLV]],Table2[#All],4,FALSE)*Table112[[#This Row],[SLV]]</f>
        <v>0</v>
      </c>
      <c r="AL44">
        <f>VLOOKUP(Table15[[#Headers],[TAN]],Table2[#All],4,FALSE)*Table112[[#This Row],[TAN]]</f>
        <v>0</v>
      </c>
      <c r="AM44">
        <f>VLOOKUP(Table15[[#Headers],[TEL]],Table2[#All],4,FALSE)*Table112[[#This Row],[TEL]]</f>
        <v>0</v>
      </c>
      <c r="AN44">
        <f>VLOOKUP(Table15[[#Headers],[TIN]],Table2[#All],4,FALSE)*Table112[[#This Row],[TIN]]</f>
        <v>0</v>
      </c>
      <c r="AO44">
        <f>VLOOKUP(Table15[[#Headers],[TIT]],Table2[#All],4,FALSE)*Table112[[#This Row],[TIT]]</f>
        <v>0</v>
      </c>
      <c r="AP44">
        <f>VLOOKUP(Table15[[#Headers],[TUN]],Table2[#All],4,FALSE)*Table112[[#This Row],[TUN]]</f>
        <v>0</v>
      </c>
      <c r="AQ44">
        <f>VLOOKUP(Table15[[#Headers],[URA]],Table2[#All],4,FALSE)*Table112[[#This Row],[URA]]</f>
        <v>0</v>
      </c>
      <c r="AR44">
        <f>VLOOKUP(Table15[[#Headers],[VAN]],Table2[#All],4,FALSE)*Table112[[#This Row],[VAN]]</f>
        <v>0</v>
      </c>
      <c r="AS44">
        <f>VLOOKUP(Table15[[#Headers],[ZIN]],Table2[#All],4,FALSE)*Table112[[#This Row],[ZIN]]</f>
        <v>0</v>
      </c>
      <c r="AT44">
        <f>VLOOKUP(Table15[[#Headers],[ZIR]],Table2[#All],4,FALSE)*Table112[[#This Row],[ZIR]]</f>
        <v>0</v>
      </c>
      <c r="AU44">
        <f>VLOOKUP(Table15[[#Headers],[REE]],Table2[#All],4,FALSE)*Table112[[#This Row],[REE]]</f>
        <v>0.30769230769230771</v>
      </c>
      <c r="AV44">
        <f t="shared" si="1"/>
        <v>1.1076923076923078</v>
      </c>
    </row>
    <row r="45" spans="1:48">
      <c r="A45" t="s">
        <v>678</v>
      </c>
      <c r="B45">
        <f>VLOOKUP(Table15[[#Headers],[ALU]],Table2[#All],4,FALSE)*Table112[[#This Row],[ALU]]</f>
        <v>0</v>
      </c>
      <c r="C45">
        <f>VLOOKUP(Table15[[#Headers],[ANT]],Table2[#All],4,FALSE)*Table112[[#This Row],[ANT]]</f>
        <v>0</v>
      </c>
      <c r="D45">
        <f>VLOOKUP(Table15[[#Headers],[ARS]],Table2[#All],4,FALSE)</f>
        <v>0.8</v>
      </c>
      <c r="E45">
        <f>VLOOKUP(Table15[[#Headers],[BAR]],Table2[#All],4,FALSE)*Table112[[#This Row],[BAR]]</f>
        <v>0</v>
      </c>
      <c r="F45">
        <f>VLOOKUP(Table15[[#Headers],[BER]],Table2[#All],4,FALSE)*Table112[[#This Row],[BER]]</f>
        <v>0</v>
      </c>
      <c r="G45">
        <f>VLOOKUP(Table15[[#Headers],[BIS]],Table2[#All],4,FALSE)*Table112[[#This Row],[BIS]]</f>
        <v>0</v>
      </c>
      <c r="H45">
        <f>VLOOKUP(Table15[[#Headers],[BOR]],Table2[#All],4,FALSE)*Table112[[#This Row],[BOR]]</f>
        <v>0</v>
      </c>
      <c r="I45">
        <f>VLOOKUP(Table15[[#Headers],[CES]],Table2[#All],4,FALSE)*Table112[[#This Row],[CES]]</f>
        <v>0</v>
      </c>
      <c r="J45">
        <f>VLOOKUP(Table15[[#Headers],[CHR]],Table2[#All],4,FALSE)*Table112[[#This Row],[CHR]]</f>
        <v>0</v>
      </c>
      <c r="K45">
        <f>VLOOKUP(Table15[[#Headers],[COB]],Table2[#All],4,FALSE)*Table112[[#This Row],[COB]]</f>
        <v>0</v>
      </c>
      <c r="L45">
        <f>VLOOKUP(Table15[[#Headers],[COP]],Table2[#All],4,FALSE)*Table112[[#This Row],[COP]]</f>
        <v>0</v>
      </c>
      <c r="M45">
        <f>VLOOKUP(Table15[[#Headers],[FLU]],Table2[#All],4,FALSE)*Table112[[#This Row],[FLU]]</f>
        <v>0</v>
      </c>
      <c r="N45">
        <f>VLOOKUP(Table15[[#Headers],[GAL]],Table2[#All],4,FALSE)*Table112[[#This Row],[GAL]]</f>
        <v>0</v>
      </c>
      <c r="O45">
        <f>VLOOKUP(Table15[[#Headers],[GER]],Table2[#All],4,FALSE)*Table112[[#This Row],[GER]]</f>
        <v>0</v>
      </c>
      <c r="P45">
        <f>VLOOKUP(Table15[[#Headers],[GRA]],Table2[#All],4,FALSE)*Table112[[#This Row],[GRA]]</f>
        <v>0</v>
      </c>
      <c r="Q45">
        <f>VLOOKUP(Table15[[#Headers],[HAF]],Table2[#All],4,FALSE)*Table112[[#This Row],[HAF]]</f>
        <v>0</v>
      </c>
      <c r="R45">
        <f>VLOOKUP(Table15[[#Headers],[IND]],Table2[#All],4,FALSE)*Table112[[#This Row],[IND]]</f>
        <v>0</v>
      </c>
      <c r="S45">
        <f>VLOOKUP(Table15[[#Headers],[IRI]],Table2[#All],4,FALSE)*Table112[[#This Row],[IRI]]</f>
        <v>0</v>
      </c>
      <c r="T45">
        <f>VLOOKUP(Table15[[#Headers],[LED]],Table2[#All],4,FALSE)*Table112[[#This Row],[LED]]</f>
        <v>0</v>
      </c>
      <c r="U45">
        <f>VLOOKUP(Table15[[#Headers],[LIT]],Table2[#All],4,FALSE)*Table112[[#This Row],[LIT]]</f>
        <v>0</v>
      </c>
      <c r="V45">
        <f>VLOOKUP(Table15[[#Headers],[MAG]],Table2[#All],4,FALSE)*Table112[[#This Row],[MAG]]</f>
        <v>0</v>
      </c>
      <c r="W45">
        <f>VLOOKUP(Table15[[#Headers],[MAN]],Table2[#All],4,FALSE)*Table112[[#This Row],[MAN]]</f>
        <v>0</v>
      </c>
      <c r="X45">
        <f>VLOOKUP(Table15[[#Headers],[MCO]],Table2[#All],4,FALSE)*Table112[[#This Row],[MCO]]</f>
        <v>0</v>
      </c>
      <c r="Y45">
        <f>VLOOKUP(Table15[[#Headers],[NIC]],Table2[#All],4,FALSE)*Table112[[#This Row],[NIC]]</f>
        <v>0</v>
      </c>
      <c r="Z45">
        <f>VLOOKUP(Table15[[#Headers],[NIO]],Table2[#All],4,FALSE)*Table112[[#This Row],[NIO]]</f>
        <v>0</v>
      </c>
      <c r="AA45">
        <f>VLOOKUP(Table15[[#Headers],[PAL]],Table2[#All],4,FALSE)*Table112[[#This Row],[PAL]]</f>
        <v>0</v>
      </c>
      <c r="AB45">
        <f>VLOOKUP(Table15[[#Headers],[PHO]],Table2[#All],4,FALSE)*Table112[[#This Row],[PHO]]</f>
        <v>0</v>
      </c>
      <c r="AC45">
        <f>VLOOKUP(Table15[[#Headers],[PLA]],Table2[#All],4,FALSE)*Table112[[#This Row],[PLA]]</f>
        <v>0</v>
      </c>
      <c r="AD45">
        <f>VLOOKUP(Table15[[#Headers],[POT]],Table2[#All],4,FALSE)*Table112[[#This Row],[POT]]</f>
        <v>0</v>
      </c>
      <c r="AE45">
        <f>VLOOKUP(Table15[[#Headers],[RHE]],Table2[#All],4,FALSE)*Table112[[#This Row],[RHE]]</f>
        <v>0</v>
      </c>
      <c r="AF45">
        <f>VLOOKUP(Table15[[#Headers],[RHO]],Table2[#All],4,FALSE)*Table112[[#This Row],[RHO]]</f>
        <v>0</v>
      </c>
      <c r="AG45">
        <f>VLOOKUP(Table15[[#Headers],[RUB]],Table2[#All],4,FALSE)*Table112[[#This Row],[RUB]]</f>
        <v>0</v>
      </c>
      <c r="AH45">
        <f>VLOOKUP(Table15[[#Headers],[RUT]],Table2[#All],4,FALSE)*Table112[[#This Row],[RUT]]</f>
        <v>0</v>
      </c>
      <c r="AI45">
        <f>VLOOKUP(Table15[[#Headers],[SCA]],Table2[#All],4,FALSE)*Table112[[#This Row],[SCA]]</f>
        <v>0</v>
      </c>
      <c r="AJ45">
        <f>VLOOKUP(Table15[[#Headers],[SIL]],Table2[#All],4,FALSE)*Table112[[#This Row],[SIL]]</f>
        <v>0</v>
      </c>
      <c r="AK45">
        <f>VLOOKUP(Table15[[#Headers],[SLV]],Table2[#All],4,FALSE)*Table112[[#This Row],[SLV]]</f>
        <v>0</v>
      </c>
      <c r="AL45">
        <f>VLOOKUP(Table15[[#Headers],[TAN]],Table2[#All],4,FALSE)*Table112[[#This Row],[TAN]]</f>
        <v>0</v>
      </c>
      <c r="AM45">
        <f>VLOOKUP(Table15[[#Headers],[TEL]],Table2[#All],4,FALSE)*Table112[[#This Row],[TEL]]</f>
        <v>0</v>
      </c>
      <c r="AN45">
        <f>VLOOKUP(Table15[[#Headers],[TIN]],Table2[#All],4,FALSE)*Table112[[#This Row],[TIN]]</f>
        <v>0</v>
      </c>
      <c r="AO45">
        <f>VLOOKUP(Table15[[#Headers],[TIT]],Table2[#All],4,FALSE)*Table112[[#This Row],[TIT]]</f>
        <v>0</v>
      </c>
      <c r="AP45">
        <f>VLOOKUP(Table15[[#Headers],[TUN]],Table2[#All],4,FALSE)*Table112[[#This Row],[TUN]]</f>
        <v>0</v>
      </c>
      <c r="AQ45">
        <f>VLOOKUP(Table15[[#Headers],[URA]],Table2[#All],4,FALSE)*Table112[[#This Row],[URA]]</f>
        <v>0.5</v>
      </c>
      <c r="AR45">
        <f>VLOOKUP(Table15[[#Headers],[VAN]],Table2[#All],4,FALSE)*Table112[[#This Row],[VAN]]</f>
        <v>0</v>
      </c>
      <c r="AS45">
        <f>VLOOKUP(Table15[[#Headers],[ZIN]],Table2[#All],4,FALSE)*Table112[[#This Row],[ZIN]]</f>
        <v>0</v>
      </c>
      <c r="AT45">
        <f>VLOOKUP(Table15[[#Headers],[ZIR]],Table2[#All],4,FALSE)*Table112[[#This Row],[ZIR]]</f>
        <v>0</v>
      </c>
      <c r="AU45">
        <f>VLOOKUP(Table15[[#Headers],[REE]],Table2[#All],4,FALSE)*Table112[[#This Row],[REE]]</f>
        <v>0</v>
      </c>
      <c r="AV45">
        <f t="shared" si="1"/>
        <v>1.3</v>
      </c>
    </row>
    <row r="46" spans="1:48">
      <c r="A46" t="s">
        <v>674</v>
      </c>
      <c r="B46">
        <f>VLOOKUP(Table15[[#Headers],[ALU]],Table2[#All],4,FALSE)*Table112[[#This Row],[ALU]]</f>
        <v>0</v>
      </c>
      <c r="C46">
        <f>VLOOKUP(Table15[[#Headers],[ANT]],Table2[#All],4,FALSE)*Table112[[#This Row],[ANT]]</f>
        <v>0</v>
      </c>
      <c r="D46">
        <f>VLOOKUP(Table15[[#Headers],[ARS]],Table2[#All],4,FALSE)</f>
        <v>0.8</v>
      </c>
      <c r="E46">
        <f>VLOOKUP(Table15[[#Headers],[BAR]],Table2[#All],4,FALSE)*Table112[[#This Row],[BAR]]</f>
        <v>0</v>
      </c>
      <c r="F46">
        <f>VLOOKUP(Table15[[#Headers],[BER]],Table2[#All],4,FALSE)*Table112[[#This Row],[BER]]</f>
        <v>0</v>
      </c>
      <c r="G46">
        <f>VLOOKUP(Table15[[#Headers],[BIS]],Table2[#All],4,FALSE)*Table112[[#This Row],[BIS]]</f>
        <v>0</v>
      </c>
      <c r="H46">
        <f>VLOOKUP(Table15[[#Headers],[BOR]],Table2[#All],4,FALSE)*Table112[[#This Row],[BOR]]</f>
        <v>0</v>
      </c>
      <c r="I46">
        <f>VLOOKUP(Table15[[#Headers],[CES]],Table2[#All],4,FALSE)*Table112[[#This Row],[CES]]</f>
        <v>0</v>
      </c>
      <c r="J46">
        <f>VLOOKUP(Table15[[#Headers],[CHR]],Table2[#All],4,FALSE)*Table112[[#This Row],[CHR]]</f>
        <v>0</v>
      </c>
      <c r="K46">
        <f>VLOOKUP(Table15[[#Headers],[COB]],Table2[#All],4,FALSE)*Table112[[#This Row],[COB]]</f>
        <v>0</v>
      </c>
      <c r="L46">
        <f>VLOOKUP(Table15[[#Headers],[COP]],Table2[#All],4,FALSE)*Table112[[#This Row],[COP]]</f>
        <v>0</v>
      </c>
      <c r="M46">
        <f>VLOOKUP(Table15[[#Headers],[FLU]],Table2[#All],4,FALSE)*Table112[[#This Row],[FLU]]</f>
        <v>0</v>
      </c>
      <c r="N46">
        <f>VLOOKUP(Table15[[#Headers],[GAL]],Table2[#All],4,FALSE)*Table112[[#This Row],[GAL]]</f>
        <v>0</v>
      </c>
      <c r="O46">
        <f>VLOOKUP(Table15[[#Headers],[GER]],Table2[#All],4,FALSE)*Table112[[#This Row],[GER]]</f>
        <v>0</v>
      </c>
      <c r="P46">
        <f>VLOOKUP(Table15[[#Headers],[GRA]],Table2[#All],4,FALSE)*Table112[[#This Row],[GRA]]</f>
        <v>0</v>
      </c>
      <c r="Q46">
        <f>VLOOKUP(Table15[[#Headers],[HAF]],Table2[#All],4,FALSE)*Table112[[#This Row],[HAF]]</f>
        <v>0</v>
      </c>
      <c r="R46">
        <f>VLOOKUP(Table15[[#Headers],[IND]],Table2[#All],4,FALSE)*Table112[[#This Row],[IND]]</f>
        <v>0</v>
      </c>
      <c r="S46">
        <f>VLOOKUP(Table15[[#Headers],[IRI]],Table2[#All],4,FALSE)*Table112[[#This Row],[IRI]]</f>
        <v>0</v>
      </c>
      <c r="T46">
        <f>VLOOKUP(Table15[[#Headers],[LED]],Table2[#All],4,FALSE)*Table112[[#This Row],[LED]]</f>
        <v>0</v>
      </c>
      <c r="U46">
        <f>VLOOKUP(Table15[[#Headers],[LIT]],Table2[#All],4,FALSE)*Table112[[#This Row],[LIT]]</f>
        <v>0</v>
      </c>
      <c r="V46">
        <f>VLOOKUP(Table15[[#Headers],[MAG]],Table2[#All],4,FALSE)*Table112[[#This Row],[MAG]]</f>
        <v>0</v>
      </c>
      <c r="W46">
        <f>VLOOKUP(Table15[[#Headers],[MAN]],Table2[#All],4,FALSE)*Table112[[#This Row],[MAN]]</f>
        <v>0</v>
      </c>
      <c r="X46">
        <f>VLOOKUP(Table15[[#Headers],[MCO]],Table2[#All],4,FALSE)*Table112[[#This Row],[MCO]]</f>
        <v>0</v>
      </c>
      <c r="Y46">
        <f>VLOOKUP(Table15[[#Headers],[NIC]],Table2[#All],4,FALSE)*Table112[[#This Row],[NIC]]</f>
        <v>0</v>
      </c>
      <c r="Z46">
        <f>VLOOKUP(Table15[[#Headers],[NIO]],Table2[#All],4,FALSE)*Table112[[#This Row],[NIO]]</f>
        <v>0</v>
      </c>
      <c r="AA46">
        <f>VLOOKUP(Table15[[#Headers],[PAL]],Table2[#All],4,FALSE)*Table112[[#This Row],[PAL]]</f>
        <v>0</v>
      </c>
      <c r="AB46">
        <f>VLOOKUP(Table15[[#Headers],[PHO]],Table2[#All],4,FALSE)*Table112[[#This Row],[PHO]]</f>
        <v>0</v>
      </c>
      <c r="AC46">
        <f>VLOOKUP(Table15[[#Headers],[PLA]],Table2[#All],4,FALSE)*Table112[[#This Row],[PLA]]</f>
        <v>0</v>
      </c>
      <c r="AD46">
        <f>VLOOKUP(Table15[[#Headers],[POT]],Table2[#All],4,FALSE)*Table112[[#This Row],[POT]]</f>
        <v>0</v>
      </c>
      <c r="AE46">
        <f>VLOOKUP(Table15[[#Headers],[RHE]],Table2[#All],4,FALSE)*Table112[[#This Row],[RHE]]</f>
        <v>0</v>
      </c>
      <c r="AF46">
        <f>VLOOKUP(Table15[[#Headers],[RHO]],Table2[#All],4,FALSE)*Table112[[#This Row],[RHO]]</f>
        <v>0</v>
      </c>
      <c r="AG46">
        <f>VLOOKUP(Table15[[#Headers],[RUB]],Table2[#All],4,FALSE)*Table112[[#This Row],[RUB]]</f>
        <v>0</v>
      </c>
      <c r="AH46">
        <f>VLOOKUP(Table15[[#Headers],[RUT]],Table2[#All],4,FALSE)*Table112[[#This Row],[RUT]]</f>
        <v>0</v>
      </c>
      <c r="AI46">
        <f>VLOOKUP(Table15[[#Headers],[SCA]],Table2[#All],4,FALSE)*Table112[[#This Row],[SCA]]</f>
        <v>0</v>
      </c>
      <c r="AJ46">
        <f>VLOOKUP(Table15[[#Headers],[SIL]],Table2[#All],4,FALSE)*Table112[[#This Row],[SIL]]</f>
        <v>0</v>
      </c>
      <c r="AK46">
        <f>VLOOKUP(Table15[[#Headers],[SLV]],Table2[#All],4,FALSE)*Table112[[#This Row],[SLV]]</f>
        <v>0</v>
      </c>
      <c r="AL46">
        <f>VLOOKUP(Table15[[#Headers],[TAN]],Table2[#All],4,FALSE)*Table112[[#This Row],[TAN]]</f>
        <v>0.8</v>
      </c>
      <c r="AM46">
        <f>VLOOKUP(Table15[[#Headers],[TEL]],Table2[#All],4,FALSE)*Table112[[#This Row],[TEL]]</f>
        <v>0</v>
      </c>
      <c r="AN46">
        <f>VLOOKUP(Table15[[#Headers],[TIN]],Table2[#All],4,FALSE)*Table112[[#This Row],[TIN]]</f>
        <v>0</v>
      </c>
      <c r="AO46">
        <f>VLOOKUP(Table15[[#Headers],[TIT]],Table2[#All],4,FALSE)*Table112[[#This Row],[TIT]]</f>
        <v>0</v>
      </c>
      <c r="AP46">
        <f>VLOOKUP(Table15[[#Headers],[TUN]],Table2[#All],4,FALSE)*Table112[[#This Row],[TUN]]</f>
        <v>0</v>
      </c>
      <c r="AQ46">
        <f>VLOOKUP(Table15[[#Headers],[URA]],Table2[#All],4,FALSE)*Table112[[#This Row],[URA]]</f>
        <v>0</v>
      </c>
      <c r="AR46">
        <f>VLOOKUP(Table15[[#Headers],[VAN]],Table2[#All],4,FALSE)*Table112[[#This Row],[VAN]]</f>
        <v>0</v>
      </c>
      <c r="AS46">
        <f>VLOOKUP(Table15[[#Headers],[ZIN]],Table2[#All],4,FALSE)*Table112[[#This Row],[ZIN]]</f>
        <v>0</v>
      </c>
      <c r="AT46">
        <f>VLOOKUP(Table15[[#Headers],[ZIR]],Table2[#All],4,FALSE)*Table112[[#This Row],[ZIR]]</f>
        <v>0</v>
      </c>
      <c r="AU46">
        <f>VLOOKUP(Table15[[#Headers],[REE]],Table2[#All],4,FALSE)*Table112[[#This Row],[REE]]</f>
        <v>0</v>
      </c>
      <c r="AV46">
        <f t="shared" si="1"/>
        <v>1.6</v>
      </c>
    </row>
    <row r="47" spans="1:48">
      <c r="A47" t="s">
        <v>577</v>
      </c>
      <c r="B47">
        <f>VLOOKUP(Table15[[#Headers],[ALU]],Table2[#All],4,FALSE)*Table112[[#This Row],[ALU]]</f>
        <v>0</v>
      </c>
      <c r="C47">
        <f>VLOOKUP(Table15[[#Headers],[ANT]],Table2[#All],4,FALSE)*Table112[[#This Row],[ANT]]</f>
        <v>0</v>
      </c>
      <c r="D47">
        <f>VLOOKUP(Table15[[#Headers],[ARS]],Table2[#All],4,FALSE)</f>
        <v>0.8</v>
      </c>
      <c r="E47">
        <f>VLOOKUP(Table15[[#Headers],[BAR]],Table2[#All],4,FALSE)*Table112[[#This Row],[BAR]]</f>
        <v>0</v>
      </c>
      <c r="F47">
        <f>VLOOKUP(Table15[[#Headers],[BER]],Table2[#All],4,FALSE)*Table112[[#This Row],[BER]]</f>
        <v>0</v>
      </c>
      <c r="G47">
        <f>VLOOKUP(Table15[[#Headers],[BIS]],Table2[#All],4,FALSE)*Table112[[#This Row],[BIS]]</f>
        <v>0</v>
      </c>
      <c r="H47">
        <f>VLOOKUP(Table15[[#Headers],[BOR]],Table2[#All],4,FALSE)*Table112[[#This Row],[BOR]]</f>
        <v>0</v>
      </c>
      <c r="I47">
        <f>VLOOKUP(Table15[[#Headers],[CES]],Table2[#All],4,FALSE)*Table112[[#This Row],[CES]]</f>
        <v>0</v>
      </c>
      <c r="J47">
        <f>VLOOKUP(Table15[[#Headers],[CHR]],Table2[#All],4,FALSE)*Table112[[#This Row],[CHR]]</f>
        <v>0</v>
      </c>
      <c r="K47">
        <f>VLOOKUP(Table15[[#Headers],[COB]],Table2[#All],4,FALSE)*Table112[[#This Row],[COB]]</f>
        <v>0</v>
      </c>
      <c r="L47">
        <f>VLOOKUP(Table15[[#Headers],[COP]],Table2[#All],4,FALSE)*Table112[[#This Row],[COP]]</f>
        <v>0</v>
      </c>
      <c r="M47">
        <f>VLOOKUP(Table15[[#Headers],[FLU]],Table2[#All],4,FALSE)*Table112[[#This Row],[FLU]]</f>
        <v>0</v>
      </c>
      <c r="N47">
        <f>VLOOKUP(Table15[[#Headers],[GAL]],Table2[#All],4,FALSE)*Table112[[#This Row],[GAL]]</f>
        <v>0</v>
      </c>
      <c r="O47">
        <f>VLOOKUP(Table15[[#Headers],[GER]],Table2[#All],4,FALSE)*Table112[[#This Row],[GER]]</f>
        <v>0</v>
      </c>
      <c r="P47">
        <f>VLOOKUP(Table15[[#Headers],[GRA]],Table2[#All],4,FALSE)*Table112[[#This Row],[GRA]]</f>
        <v>0</v>
      </c>
      <c r="Q47">
        <f>VLOOKUP(Table15[[#Headers],[HAF]],Table2[#All],4,FALSE)*Table112[[#This Row],[HAF]]</f>
        <v>0</v>
      </c>
      <c r="R47">
        <f>VLOOKUP(Table15[[#Headers],[IND]],Table2[#All],4,FALSE)*Table112[[#This Row],[IND]]</f>
        <v>0</v>
      </c>
      <c r="S47">
        <f>VLOOKUP(Table15[[#Headers],[IRI]],Table2[#All],4,FALSE)*Table112[[#This Row],[IRI]]</f>
        <v>0</v>
      </c>
      <c r="T47">
        <f>VLOOKUP(Table15[[#Headers],[LED]],Table2[#All],4,FALSE)*Table112[[#This Row],[LED]]</f>
        <v>0</v>
      </c>
      <c r="U47">
        <f>VLOOKUP(Table15[[#Headers],[LIT]],Table2[#All],4,FALSE)*Table112[[#This Row],[LIT]]</f>
        <v>0</v>
      </c>
      <c r="V47">
        <f>VLOOKUP(Table15[[#Headers],[MAG]],Table2[#All],4,FALSE)*Table112[[#This Row],[MAG]]</f>
        <v>0.8</v>
      </c>
      <c r="W47">
        <f>VLOOKUP(Table15[[#Headers],[MAN]],Table2[#All],4,FALSE)*Table112[[#This Row],[MAN]]</f>
        <v>0</v>
      </c>
      <c r="X47">
        <f>VLOOKUP(Table15[[#Headers],[MCO]],Table2[#All],4,FALSE)*Table112[[#This Row],[MCO]]</f>
        <v>0</v>
      </c>
      <c r="Y47">
        <f>VLOOKUP(Table15[[#Headers],[NIC]],Table2[#All],4,FALSE)*Table112[[#This Row],[NIC]]</f>
        <v>0</v>
      </c>
      <c r="Z47">
        <f>VLOOKUP(Table15[[#Headers],[NIO]],Table2[#All],4,FALSE)*Table112[[#This Row],[NIO]]</f>
        <v>0</v>
      </c>
      <c r="AA47">
        <f>VLOOKUP(Table15[[#Headers],[PAL]],Table2[#All],4,FALSE)*Table112[[#This Row],[PAL]]</f>
        <v>0</v>
      </c>
      <c r="AB47">
        <f>VLOOKUP(Table15[[#Headers],[PHO]],Table2[#All],4,FALSE)*Table112[[#This Row],[PHO]]</f>
        <v>0</v>
      </c>
      <c r="AC47">
        <f>VLOOKUP(Table15[[#Headers],[PLA]],Table2[#All],4,FALSE)*Table112[[#This Row],[PLA]]</f>
        <v>0</v>
      </c>
      <c r="AD47">
        <f>VLOOKUP(Table15[[#Headers],[POT]],Table2[#All],4,FALSE)*Table112[[#This Row],[POT]]</f>
        <v>0</v>
      </c>
      <c r="AE47">
        <f>VLOOKUP(Table15[[#Headers],[RHE]],Table2[#All],4,FALSE)*Table112[[#This Row],[RHE]]</f>
        <v>0</v>
      </c>
      <c r="AF47">
        <f>VLOOKUP(Table15[[#Headers],[RHO]],Table2[#All],4,FALSE)*Table112[[#This Row],[RHO]]</f>
        <v>0</v>
      </c>
      <c r="AG47">
        <f>VLOOKUP(Table15[[#Headers],[RUB]],Table2[#All],4,FALSE)*Table112[[#This Row],[RUB]]</f>
        <v>0</v>
      </c>
      <c r="AH47">
        <f>VLOOKUP(Table15[[#Headers],[RUT]],Table2[#All],4,FALSE)*Table112[[#This Row],[RUT]]</f>
        <v>0</v>
      </c>
      <c r="AI47">
        <f>VLOOKUP(Table15[[#Headers],[SCA]],Table2[#All],4,FALSE)*Table112[[#This Row],[SCA]]</f>
        <v>0</v>
      </c>
      <c r="AJ47">
        <f>VLOOKUP(Table15[[#Headers],[SIL]],Table2[#All],4,FALSE)*Table112[[#This Row],[SIL]]</f>
        <v>0</v>
      </c>
      <c r="AK47">
        <f>VLOOKUP(Table15[[#Headers],[SLV]],Table2[#All],4,FALSE)*Table112[[#This Row],[SLV]]</f>
        <v>0</v>
      </c>
      <c r="AL47">
        <f>VLOOKUP(Table15[[#Headers],[TAN]],Table2[#All],4,FALSE)*Table112[[#This Row],[TAN]]</f>
        <v>0</v>
      </c>
      <c r="AM47">
        <f>VLOOKUP(Table15[[#Headers],[TEL]],Table2[#All],4,FALSE)*Table112[[#This Row],[TEL]]</f>
        <v>0</v>
      </c>
      <c r="AN47">
        <f>VLOOKUP(Table15[[#Headers],[TIN]],Table2[#All],4,FALSE)*Table112[[#This Row],[TIN]]</f>
        <v>0</v>
      </c>
      <c r="AO47">
        <f>VLOOKUP(Table15[[#Headers],[TIT]],Table2[#All],4,FALSE)*Table112[[#This Row],[TIT]]</f>
        <v>0</v>
      </c>
      <c r="AP47">
        <f>VLOOKUP(Table15[[#Headers],[TUN]],Table2[#All],4,FALSE)*Table112[[#This Row],[TUN]]</f>
        <v>0</v>
      </c>
      <c r="AQ47">
        <f>VLOOKUP(Table15[[#Headers],[URA]],Table2[#All],4,FALSE)*Table112[[#This Row],[URA]]</f>
        <v>0</v>
      </c>
      <c r="AR47">
        <f>VLOOKUP(Table15[[#Headers],[VAN]],Table2[#All],4,FALSE)*Table112[[#This Row],[VAN]]</f>
        <v>0</v>
      </c>
      <c r="AS47">
        <f>VLOOKUP(Table15[[#Headers],[ZIN]],Table2[#All],4,FALSE)*Table112[[#This Row],[ZIN]]</f>
        <v>0</v>
      </c>
      <c r="AT47">
        <f>VLOOKUP(Table15[[#Headers],[ZIR]],Table2[#All],4,FALSE)*Table112[[#This Row],[ZIR]]</f>
        <v>0</v>
      </c>
      <c r="AU47">
        <f>VLOOKUP(Table15[[#Headers],[REE]],Table2[#All],4,FALSE)*Table112[[#This Row],[REE]]</f>
        <v>0</v>
      </c>
      <c r="AV47">
        <f t="shared" si="1"/>
        <v>1.6</v>
      </c>
    </row>
    <row r="48" spans="1:48">
      <c r="A48" t="s">
        <v>580</v>
      </c>
      <c r="B48">
        <f>VLOOKUP(Table15[[#Headers],[ALU]],Table2[#All],4,FALSE)*Table112[[#This Row],[ALU]]</f>
        <v>0</v>
      </c>
      <c r="C48">
        <f>VLOOKUP(Table15[[#Headers],[ANT]],Table2[#All],4,FALSE)*Table112[[#This Row],[ANT]]</f>
        <v>0</v>
      </c>
      <c r="D48">
        <f>VLOOKUP(Table15[[#Headers],[ARS]],Table2[#All],4,FALSE)</f>
        <v>0.8</v>
      </c>
      <c r="E48">
        <f>VLOOKUP(Table15[[#Headers],[BAR]],Table2[#All],4,FALSE)*Table112[[#This Row],[BAR]]</f>
        <v>0</v>
      </c>
      <c r="F48">
        <f>VLOOKUP(Table15[[#Headers],[BER]],Table2[#All],4,FALSE)*Table112[[#This Row],[BER]]</f>
        <v>0</v>
      </c>
      <c r="G48">
        <f>VLOOKUP(Table15[[#Headers],[BIS]],Table2[#All],4,FALSE)*Table112[[#This Row],[BIS]]</f>
        <v>0</v>
      </c>
      <c r="H48">
        <f>VLOOKUP(Table15[[#Headers],[BOR]],Table2[#All],4,FALSE)*Table112[[#This Row],[BOR]]</f>
        <v>0</v>
      </c>
      <c r="I48">
        <f>VLOOKUP(Table15[[#Headers],[CES]],Table2[#All],4,FALSE)*Table112[[#This Row],[CES]]</f>
        <v>0</v>
      </c>
      <c r="J48">
        <f>VLOOKUP(Table15[[#Headers],[CHR]],Table2[#All],4,FALSE)*Table112[[#This Row],[CHR]]</f>
        <v>0</v>
      </c>
      <c r="K48">
        <f>VLOOKUP(Table15[[#Headers],[COB]],Table2[#All],4,FALSE)*Table112[[#This Row],[COB]]</f>
        <v>0</v>
      </c>
      <c r="L48">
        <f>VLOOKUP(Table15[[#Headers],[COP]],Table2[#All],4,FALSE)*Table112[[#This Row],[COP]]</f>
        <v>0</v>
      </c>
      <c r="M48">
        <f>VLOOKUP(Table15[[#Headers],[FLU]],Table2[#All],4,FALSE)*Table112[[#This Row],[FLU]]</f>
        <v>0</v>
      </c>
      <c r="N48">
        <f>VLOOKUP(Table15[[#Headers],[GAL]],Table2[#All],4,FALSE)*Table112[[#This Row],[GAL]]</f>
        <v>0</v>
      </c>
      <c r="O48">
        <f>VLOOKUP(Table15[[#Headers],[GER]],Table2[#All],4,FALSE)*Table112[[#This Row],[GER]]</f>
        <v>0</v>
      </c>
      <c r="P48">
        <f>VLOOKUP(Table15[[#Headers],[GRA]],Table2[#All],4,FALSE)*Table112[[#This Row],[GRA]]</f>
        <v>0</v>
      </c>
      <c r="Q48">
        <f>VLOOKUP(Table15[[#Headers],[HAF]],Table2[#All],4,FALSE)*Table112[[#This Row],[HAF]]</f>
        <v>0</v>
      </c>
      <c r="R48">
        <f>VLOOKUP(Table15[[#Headers],[IND]],Table2[#All],4,FALSE)*Table112[[#This Row],[IND]]</f>
        <v>0</v>
      </c>
      <c r="S48">
        <f>VLOOKUP(Table15[[#Headers],[IRI]],Table2[#All],4,FALSE)*Table112[[#This Row],[IRI]]</f>
        <v>0</v>
      </c>
      <c r="T48">
        <f>VLOOKUP(Table15[[#Headers],[LED]],Table2[#All],4,FALSE)*Table112[[#This Row],[LED]]</f>
        <v>0</v>
      </c>
      <c r="U48">
        <f>VLOOKUP(Table15[[#Headers],[LIT]],Table2[#All],4,FALSE)*Table112[[#This Row],[LIT]]</f>
        <v>0</v>
      </c>
      <c r="V48">
        <f>VLOOKUP(Table15[[#Headers],[MAG]],Table2[#All],4,FALSE)*Table112[[#This Row],[MAG]]</f>
        <v>0</v>
      </c>
      <c r="W48">
        <f>VLOOKUP(Table15[[#Headers],[MAN]],Table2[#All],4,FALSE)*Table112[[#This Row],[MAN]]</f>
        <v>0</v>
      </c>
      <c r="X48">
        <f>VLOOKUP(Table15[[#Headers],[MCO]],Table2[#All],4,FALSE)*Table112[[#This Row],[MCO]]</f>
        <v>0</v>
      </c>
      <c r="Y48">
        <f>VLOOKUP(Table15[[#Headers],[NIC]],Table2[#All],4,FALSE)*Table112[[#This Row],[NIC]]</f>
        <v>0</v>
      </c>
      <c r="Z48">
        <f>VLOOKUP(Table15[[#Headers],[NIO]],Table2[#All],4,FALSE)*Table112[[#This Row],[NIO]]</f>
        <v>0</v>
      </c>
      <c r="AA48">
        <f>VLOOKUP(Table15[[#Headers],[PAL]],Table2[#All],4,FALSE)*Table112[[#This Row],[PAL]]</f>
        <v>0</v>
      </c>
      <c r="AB48">
        <f>VLOOKUP(Table15[[#Headers],[PHO]],Table2[#All],4,FALSE)*Table112[[#This Row],[PHO]]</f>
        <v>0</v>
      </c>
      <c r="AC48">
        <f>VLOOKUP(Table15[[#Headers],[PLA]],Table2[#All],4,FALSE)*Table112[[#This Row],[PLA]]</f>
        <v>0</v>
      </c>
      <c r="AD48">
        <f>VLOOKUP(Table15[[#Headers],[POT]],Table2[#All],4,FALSE)*Table112[[#This Row],[POT]]</f>
        <v>0</v>
      </c>
      <c r="AE48">
        <f>VLOOKUP(Table15[[#Headers],[RHE]],Table2[#All],4,FALSE)*Table112[[#This Row],[RHE]]</f>
        <v>0</v>
      </c>
      <c r="AF48">
        <f>VLOOKUP(Table15[[#Headers],[RHO]],Table2[#All],4,FALSE)*Table112[[#This Row],[RHO]]</f>
        <v>0</v>
      </c>
      <c r="AG48">
        <f>VLOOKUP(Table15[[#Headers],[RUB]],Table2[#All],4,FALSE)*Table112[[#This Row],[RUB]]</f>
        <v>0</v>
      </c>
      <c r="AH48">
        <f>VLOOKUP(Table15[[#Headers],[RUT]],Table2[#All],4,FALSE)*Table112[[#This Row],[RUT]]</f>
        <v>0</v>
      </c>
      <c r="AI48">
        <f>VLOOKUP(Table15[[#Headers],[SCA]],Table2[#All],4,FALSE)*Table112[[#This Row],[SCA]]</f>
        <v>0</v>
      </c>
      <c r="AJ48">
        <f>VLOOKUP(Table15[[#Headers],[SIL]],Table2[#All],4,FALSE)*Table112[[#This Row],[SIL]]</f>
        <v>0.8</v>
      </c>
      <c r="AK48">
        <f>VLOOKUP(Table15[[#Headers],[SLV]],Table2[#All],4,FALSE)*Table112[[#This Row],[SLV]]</f>
        <v>0</v>
      </c>
      <c r="AL48">
        <f>VLOOKUP(Table15[[#Headers],[TAN]],Table2[#All],4,FALSE)*Table112[[#This Row],[TAN]]</f>
        <v>0</v>
      </c>
      <c r="AM48">
        <f>VLOOKUP(Table15[[#Headers],[TEL]],Table2[#All],4,FALSE)*Table112[[#This Row],[TEL]]</f>
        <v>0</v>
      </c>
      <c r="AN48">
        <f>VLOOKUP(Table15[[#Headers],[TIN]],Table2[#All],4,FALSE)*Table112[[#This Row],[TIN]]</f>
        <v>0</v>
      </c>
      <c r="AO48">
        <f>VLOOKUP(Table15[[#Headers],[TIT]],Table2[#All],4,FALSE)*Table112[[#This Row],[TIT]]</f>
        <v>0</v>
      </c>
      <c r="AP48">
        <f>VLOOKUP(Table15[[#Headers],[TUN]],Table2[#All],4,FALSE)*Table112[[#This Row],[TUN]]</f>
        <v>0</v>
      </c>
      <c r="AQ48">
        <f>VLOOKUP(Table15[[#Headers],[URA]],Table2[#All],4,FALSE)*Table112[[#This Row],[URA]]</f>
        <v>0</v>
      </c>
      <c r="AR48">
        <f>VLOOKUP(Table15[[#Headers],[VAN]],Table2[#All],4,FALSE)*Table112[[#This Row],[VAN]]</f>
        <v>0</v>
      </c>
      <c r="AS48">
        <f>VLOOKUP(Table15[[#Headers],[ZIN]],Table2[#All],4,FALSE)*Table112[[#This Row],[ZIN]]</f>
        <v>0</v>
      </c>
      <c r="AT48">
        <f>VLOOKUP(Table15[[#Headers],[ZIR]],Table2[#All],4,FALSE)*Table112[[#This Row],[ZIR]]</f>
        <v>0</v>
      </c>
      <c r="AU48">
        <f>VLOOKUP(Table15[[#Headers],[REE]],Table2[#All],4,FALSE)*Table112[[#This Row],[REE]]</f>
        <v>0</v>
      </c>
      <c r="AV48">
        <f t="shared" si="1"/>
        <v>1.6</v>
      </c>
    </row>
    <row r="49" spans="1:48">
      <c r="A49" t="s">
        <v>626</v>
      </c>
      <c r="B49">
        <f>VLOOKUP(Table15[[#Headers],[ALU]],Table2[#All],4,FALSE)*Table112[[#This Row],[ALU]]</f>
        <v>0</v>
      </c>
      <c r="C49">
        <f>VLOOKUP(Table15[[#Headers],[ANT]],Table2[#All],4,FALSE)*Table112[[#This Row],[ANT]]</f>
        <v>0</v>
      </c>
      <c r="D49">
        <f>VLOOKUP(Table15[[#Headers],[ARS]],Table2[#All],4,FALSE)</f>
        <v>0.8</v>
      </c>
      <c r="E49">
        <f>VLOOKUP(Table15[[#Headers],[BAR]],Table2[#All],4,FALSE)*Table112[[#This Row],[BAR]]</f>
        <v>0</v>
      </c>
      <c r="F49">
        <f>VLOOKUP(Table15[[#Headers],[BER]],Table2[#All],4,FALSE)*Table112[[#This Row],[BER]]</f>
        <v>0</v>
      </c>
      <c r="G49">
        <f>VLOOKUP(Table15[[#Headers],[BIS]],Table2[#All],4,FALSE)*Table112[[#This Row],[BIS]]</f>
        <v>0</v>
      </c>
      <c r="H49">
        <f>VLOOKUP(Table15[[#Headers],[BOR]],Table2[#All],4,FALSE)*Table112[[#This Row],[BOR]]</f>
        <v>0</v>
      </c>
      <c r="I49">
        <f>VLOOKUP(Table15[[#Headers],[CES]],Table2[#All],4,FALSE)*Table112[[#This Row],[CES]]</f>
        <v>0</v>
      </c>
      <c r="J49">
        <f>VLOOKUP(Table15[[#Headers],[CHR]],Table2[#All],4,FALSE)*Table112[[#This Row],[CHR]]</f>
        <v>0</v>
      </c>
      <c r="K49">
        <f>VLOOKUP(Table15[[#Headers],[COB]],Table2[#All],4,FALSE)*Table112[[#This Row],[COB]]</f>
        <v>0</v>
      </c>
      <c r="L49">
        <f>VLOOKUP(Table15[[#Headers],[COP]],Table2[#All],4,FALSE)*Table112[[#This Row],[COP]]</f>
        <v>0</v>
      </c>
      <c r="M49">
        <f>VLOOKUP(Table15[[#Headers],[FLU]],Table2[#All],4,FALSE)*Table112[[#This Row],[FLU]]</f>
        <v>0</v>
      </c>
      <c r="N49">
        <f>VLOOKUP(Table15[[#Headers],[GAL]],Table2[#All],4,FALSE)*Table112[[#This Row],[GAL]]</f>
        <v>0</v>
      </c>
      <c r="O49">
        <f>VLOOKUP(Table15[[#Headers],[GER]],Table2[#All],4,FALSE)*Table112[[#This Row],[GER]]</f>
        <v>0</v>
      </c>
      <c r="P49">
        <f>VLOOKUP(Table15[[#Headers],[GRA]],Table2[#All],4,FALSE)*Table112[[#This Row],[GRA]]</f>
        <v>0</v>
      </c>
      <c r="Q49">
        <f>VLOOKUP(Table15[[#Headers],[HAF]],Table2[#All],4,FALSE)*Table112[[#This Row],[HAF]]</f>
        <v>0</v>
      </c>
      <c r="R49">
        <f>VLOOKUP(Table15[[#Headers],[IND]],Table2[#All],4,FALSE)*Table112[[#This Row],[IND]]</f>
        <v>0</v>
      </c>
      <c r="S49">
        <f>VLOOKUP(Table15[[#Headers],[IRI]],Table2[#All],4,FALSE)*Table112[[#This Row],[IRI]]</f>
        <v>0</v>
      </c>
      <c r="T49">
        <f>VLOOKUP(Table15[[#Headers],[LED]],Table2[#All],4,FALSE)*Table112[[#This Row],[LED]]</f>
        <v>0</v>
      </c>
      <c r="U49">
        <f>VLOOKUP(Table15[[#Headers],[LIT]],Table2[#All],4,FALSE)*Table112[[#This Row],[LIT]]</f>
        <v>0</v>
      </c>
      <c r="V49">
        <f>VLOOKUP(Table15[[#Headers],[MAG]],Table2[#All],4,FALSE)*Table112[[#This Row],[MAG]]</f>
        <v>0</v>
      </c>
      <c r="W49">
        <f>VLOOKUP(Table15[[#Headers],[MAN]],Table2[#All],4,FALSE)*Table112[[#This Row],[MAN]]</f>
        <v>0</v>
      </c>
      <c r="X49">
        <f>VLOOKUP(Table15[[#Headers],[MCO]],Table2[#All],4,FALSE)*Table112[[#This Row],[MCO]]</f>
        <v>0</v>
      </c>
      <c r="Y49">
        <f>VLOOKUP(Table15[[#Headers],[NIC]],Table2[#All],4,FALSE)*Table112[[#This Row],[NIC]]</f>
        <v>0</v>
      </c>
      <c r="Z49">
        <f>VLOOKUP(Table15[[#Headers],[NIO]],Table2[#All],4,FALSE)*Table112[[#This Row],[NIO]]</f>
        <v>0</v>
      </c>
      <c r="AA49">
        <f>VLOOKUP(Table15[[#Headers],[PAL]],Table2[#All],4,FALSE)*Table112[[#This Row],[PAL]]</f>
        <v>0</v>
      </c>
      <c r="AB49">
        <f>VLOOKUP(Table15[[#Headers],[PHO]],Table2[#All],4,FALSE)*Table112[[#This Row],[PHO]]</f>
        <v>0.8</v>
      </c>
      <c r="AC49">
        <f>VLOOKUP(Table15[[#Headers],[PLA]],Table2[#All],4,FALSE)*Table112[[#This Row],[PLA]]</f>
        <v>0</v>
      </c>
      <c r="AD49">
        <f>VLOOKUP(Table15[[#Headers],[POT]],Table2[#All],4,FALSE)*Table112[[#This Row],[POT]]</f>
        <v>0</v>
      </c>
      <c r="AE49">
        <f>VLOOKUP(Table15[[#Headers],[RHE]],Table2[#All],4,FALSE)*Table112[[#This Row],[RHE]]</f>
        <v>0</v>
      </c>
      <c r="AF49">
        <f>VLOOKUP(Table15[[#Headers],[RHO]],Table2[#All],4,FALSE)*Table112[[#This Row],[RHO]]</f>
        <v>0</v>
      </c>
      <c r="AG49">
        <f>VLOOKUP(Table15[[#Headers],[RUB]],Table2[#All],4,FALSE)*Table112[[#This Row],[RUB]]</f>
        <v>0</v>
      </c>
      <c r="AH49">
        <f>VLOOKUP(Table15[[#Headers],[RUT]],Table2[#All],4,FALSE)*Table112[[#This Row],[RUT]]</f>
        <v>0</v>
      </c>
      <c r="AI49">
        <f>VLOOKUP(Table15[[#Headers],[SCA]],Table2[#All],4,FALSE)*Table112[[#This Row],[SCA]]</f>
        <v>0</v>
      </c>
      <c r="AJ49">
        <f>VLOOKUP(Table15[[#Headers],[SIL]],Table2[#All],4,FALSE)*Table112[[#This Row],[SIL]]</f>
        <v>0</v>
      </c>
      <c r="AK49">
        <f>VLOOKUP(Table15[[#Headers],[SLV]],Table2[#All],4,FALSE)*Table112[[#This Row],[SLV]]</f>
        <v>0</v>
      </c>
      <c r="AL49">
        <f>VLOOKUP(Table15[[#Headers],[TAN]],Table2[#All],4,FALSE)*Table112[[#This Row],[TAN]]</f>
        <v>0</v>
      </c>
      <c r="AM49">
        <f>VLOOKUP(Table15[[#Headers],[TEL]],Table2[#All],4,FALSE)*Table112[[#This Row],[TEL]]</f>
        <v>0</v>
      </c>
      <c r="AN49">
        <f>VLOOKUP(Table15[[#Headers],[TIN]],Table2[#All],4,FALSE)*Table112[[#This Row],[TIN]]</f>
        <v>0</v>
      </c>
      <c r="AO49">
        <f>VLOOKUP(Table15[[#Headers],[TIT]],Table2[#All],4,FALSE)*Table112[[#This Row],[TIT]]</f>
        <v>0</v>
      </c>
      <c r="AP49">
        <f>VLOOKUP(Table15[[#Headers],[TUN]],Table2[#All],4,FALSE)*Table112[[#This Row],[TUN]]</f>
        <v>0</v>
      </c>
      <c r="AQ49">
        <f>VLOOKUP(Table15[[#Headers],[URA]],Table2[#All],4,FALSE)*Table112[[#This Row],[URA]]</f>
        <v>0</v>
      </c>
      <c r="AR49">
        <f>VLOOKUP(Table15[[#Headers],[VAN]],Table2[#All],4,FALSE)*Table112[[#This Row],[VAN]]</f>
        <v>0</v>
      </c>
      <c r="AS49">
        <f>VLOOKUP(Table15[[#Headers],[ZIN]],Table2[#All],4,FALSE)*Table112[[#This Row],[ZIN]]</f>
        <v>0</v>
      </c>
      <c r="AT49">
        <f>VLOOKUP(Table15[[#Headers],[ZIR]],Table2[#All],4,FALSE)*Table112[[#This Row],[ZIR]]</f>
        <v>0</v>
      </c>
      <c r="AU49">
        <f>VLOOKUP(Table15[[#Headers],[REE]],Table2[#All],4,FALSE)*Table112[[#This Row],[REE]]</f>
        <v>0</v>
      </c>
      <c r="AV49">
        <f t="shared" si="1"/>
        <v>1.6</v>
      </c>
    </row>
    <row r="50" spans="1:48">
      <c r="A50" t="s">
        <v>595</v>
      </c>
      <c r="B50">
        <f>VLOOKUP(Table15[[#Headers],[ALU]],Table2[#All],4,FALSE)*Table112[[#This Row],[ALU]]</f>
        <v>0</v>
      </c>
      <c r="C50">
        <f>VLOOKUP(Table15[[#Headers],[ANT]],Table2[#All],4,FALSE)*Table112[[#This Row],[ANT]]</f>
        <v>0</v>
      </c>
      <c r="D50">
        <f>VLOOKUP(Table15[[#Headers],[ARS]],Table2[#All],4,FALSE)</f>
        <v>0.8</v>
      </c>
      <c r="E50">
        <f>VLOOKUP(Table15[[#Headers],[BAR]],Table2[#All],4,FALSE)*Table112[[#This Row],[BAR]]</f>
        <v>0</v>
      </c>
      <c r="F50">
        <f>VLOOKUP(Table15[[#Headers],[BER]],Table2[#All],4,FALSE)*Table112[[#This Row],[BER]]</f>
        <v>0</v>
      </c>
      <c r="G50">
        <f>VLOOKUP(Table15[[#Headers],[BIS]],Table2[#All],4,FALSE)*Table112[[#This Row],[BIS]]</f>
        <v>0</v>
      </c>
      <c r="H50">
        <f>VLOOKUP(Table15[[#Headers],[BOR]],Table2[#All],4,FALSE)*Table112[[#This Row],[BOR]]</f>
        <v>0</v>
      </c>
      <c r="I50">
        <f>VLOOKUP(Table15[[#Headers],[CES]],Table2[#All],4,FALSE)*Table112[[#This Row],[CES]]</f>
        <v>0</v>
      </c>
      <c r="J50">
        <f>VLOOKUP(Table15[[#Headers],[CHR]],Table2[#All],4,FALSE)*Table112[[#This Row],[CHR]]</f>
        <v>0</v>
      </c>
      <c r="K50">
        <f>VLOOKUP(Table15[[#Headers],[COB]],Table2[#All],4,FALSE)*Table112[[#This Row],[COB]]</f>
        <v>0</v>
      </c>
      <c r="L50">
        <f>VLOOKUP(Table15[[#Headers],[COP]],Table2[#All],4,FALSE)*Table112[[#This Row],[COP]]</f>
        <v>0</v>
      </c>
      <c r="M50">
        <f>VLOOKUP(Table15[[#Headers],[FLU]],Table2[#All],4,FALSE)*Table112[[#This Row],[FLU]]</f>
        <v>0.8</v>
      </c>
      <c r="N50">
        <f>VLOOKUP(Table15[[#Headers],[GAL]],Table2[#All],4,FALSE)*Table112[[#This Row],[GAL]]</f>
        <v>0</v>
      </c>
      <c r="O50">
        <f>VLOOKUP(Table15[[#Headers],[GER]],Table2[#All],4,FALSE)*Table112[[#This Row],[GER]]</f>
        <v>0</v>
      </c>
      <c r="P50">
        <f>VLOOKUP(Table15[[#Headers],[GRA]],Table2[#All],4,FALSE)*Table112[[#This Row],[GRA]]</f>
        <v>0</v>
      </c>
      <c r="Q50">
        <f>VLOOKUP(Table15[[#Headers],[HAF]],Table2[#All],4,FALSE)*Table112[[#This Row],[HAF]]</f>
        <v>0</v>
      </c>
      <c r="R50">
        <f>VLOOKUP(Table15[[#Headers],[IND]],Table2[#All],4,FALSE)*Table112[[#This Row],[IND]]</f>
        <v>0</v>
      </c>
      <c r="S50">
        <f>VLOOKUP(Table15[[#Headers],[IRI]],Table2[#All],4,FALSE)*Table112[[#This Row],[IRI]]</f>
        <v>0</v>
      </c>
      <c r="T50">
        <f>VLOOKUP(Table15[[#Headers],[LED]],Table2[#All],4,FALSE)*Table112[[#This Row],[LED]]</f>
        <v>0</v>
      </c>
      <c r="U50">
        <f>VLOOKUP(Table15[[#Headers],[LIT]],Table2[#All],4,FALSE)*Table112[[#This Row],[LIT]]</f>
        <v>0</v>
      </c>
      <c r="V50">
        <f>VLOOKUP(Table15[[#Headers],[MAG]],Table2[#All],4,FALSE)*Table112[[#This Row],[MAG]]</f>
        <v>0</v>
      </c>
      <c r="W50">
        <f>VLOOKUP(Table15[[#Headers],[MAN]],Table2[#All],4,FALSE)*Table112[[#This Row],[MAN]]</f>
        <v>0</v>
      </c>
      <c r="X50">
        <f>VLOOKUP(Table15[[#Headers],[MCO]],Table2[#All],4,FALSE)*Table112[[#This Row],[MCO]]</f>
        <v>0</v>
      </c>
      <c r="Y50">
        <f>VLOOKUP(Table15[[#Headers],[NIC]],Table2[#All],4,FALSE)*Table112[[#This Row],[NIC]]</f>
        <v>0</v>
      </c>
      <c r="Z50">
        <f>VLOOKUP(Table15[[#Headers],[NIO]],Table2[#All],4,FALSE)*Table112[[#This Row],[NIO]]</f>
        <v>0</v>
      </c>
      <c r="AA50">
        <f>VLOOKUP(Table15[[#Headers],[PAL]],Table2[#All],4,FALSE)*Table112[[#This Row],[PAL]]</f>
        <v>0</v>
      </c>
      <c r="AB50">
        <f>VLOOKUP(Table15[[#Headers],[PHO]],Table2[#All],4,FALSE)*Table112[[#This Row],[PHO]]</f>
        <v>0</v>
      </c>
      <c r="AC50">
        <f>VLOOKUP(Table15[[#Headers],[PLA]],Table2[#All],4,FALSE)*Table112[[#This Row],[PLA]]</f>
        <v>0</v>
      </c>
      <c r="AD50">
        <f>VLOOKUP(Table15[[#Headers],[POT]],Table2[#All],4,FALSE)*Table112[[#This Row],[POT]]</f>
        <v>0</v>
      </c>
      <c r="AE50">
        <f>VLOOKUP(Table15[[#Headers],[RHE]],Table2[#All],4,FALSE)*Table112[[#This Row],[RHE]]</f>
        <v>0</v>
      </c>
      <c r="AF50">
        <f>VLOOKUP(Table15[[#Headers],[RHO]],Table2[#All],4,FALSE)*Table112[[#This Row],[RHO]]</f>
        <v>0</v>
      </c>
      <c r="AG50">
        <f>VLOOKUP(Table15[[#Headers],[RUB]],Table2[#All],4,FALSE)*Table112[[#This Row],[RUB]]</f>
        <v>0</v>
      </c>
      <c r="AH50">
        <f>VLOOKUP(Table15[[#Headers],[RUT]],Table2[#All],4,FALSE)*Table112[[#This Row],[RUT]]</f>
        <v>0</v>
      </c>
      <c r="AI50">
        <f>VLOOKUP(Table15[[#Headers],[SCA]],Table2[#All],4,FALSE)*Table112[[#This Row],[SCA]]</f>
        <v>0</v>
      </c>
      <c r="AJ50">
        <f>VLOOKUP(Table15[[#Headers],[SIL]],Table2[#All],4,FALSE)*Table112[[#This Row],[SIL]]</f>
        <v>0</v>
      </c>
      <c r="AK50">
        <f>VLOOKUP(Table15[[#Headers],[SLV]],Table2[#All],4,FALSE)*Table112[[#This Row],[SLV]]</f>
        <v>0</v>
      </c>
      <c r="AL50">
        <f>VLOOKUP(Table15[[#Headers],[TAN]],Table2[#All],4,FALSE)*Table112[[#This Row],[TAN]]</f>
        <v>0</v>
      </c>
      <c r="AM50">
        <f>VLOOKUP(Table15[[#Headers],[TEL]],Table2[#All],4,FALSE)*Table112[[#This Row],[TEL]]</f>
        <v>0</v>
      </c>
      <c r="AN50">
        <f>VLOOKUP(Table15[[#Headers],[TIN]],Table2[#All],4,FALSE)*Table112[[#This Row],[TIN]]</f>
        <v>0</v>
      </c>
      <c r="AO50">
        <f>VLOOKUP(Table15[[#Headers],[TIT]],Table2[#All],4,FALSE)*Table112[[#This Row],[TIT]]</f>
        <v>0</v>
      </c>
      <c r="AP50">
        <f>VLOOKUP(Table15[[#Headers],[TUN]],Table2[#All],4,FALSE)*Table112[[#This Row],[TUN]]</f>
        <v>0</v>
      </c>
      <c r="AQ50">
        <f>VLOOKUP(Table15[[#Headers],[URA]],Table2[#All],4,FALSE)*Table112[[#This Row],[URA]]</f>
        <v>0</v>
      </c>
      <c r="AR50">
        <f>VLOOKUP(Table15[[#Headers],[VAN]],Table2[#All],4,FALSE)*Table112[[#This Row],[VAN]]</f>
        <v>0</v>
      </c>
      <c r="AS50">
        <f>VLOOKUP(Table15[[#Headers],[ZIN]],Table2[#All],4,FALSE)*Table112[[#This Row],[ZIN]]</f>
        <v>0</v>
      </c>
      <c r="AT50">
        <f>VLOOKUP(Table15[[#Headers],[ZIR]],Table2[#All],4,FALSE)*Table112[[#This Row],[ZIR]]</f>
        <v>0</v>
      </c>
      <c r="AU50">
        <f>VLOOKUP(Table15[[#Headers],[REE]],Table2[#All],4,FALSE)*Table112[[#This Row],[REE]]</f>
        <v>0</v>
      </c>
      <c r="AV50">
        <f t="shared" si="1"/>
        <v>1.6</v>
      </c>
    </row>
    <row r="51" spans="1:48">
      <c r="A51" t="s">
        <v>662</v>
      </c>
      <c r="B51">
        <f>VLOOKUP(Table15[[#Headers],[ALU]],Table2[#All],4,FALSE)*Table112[[#This Row],[ALU]]</f>
        <v>0</v>
      </c>
      <c r="C51">
        <f>VLOOKUP(Table15[[#Headers],[ANT]],Table2[#All],4,FALSE)*Table112[[#This Row],[ANT]]</f>
        <v>0</v>
      </c>
      <c r="D51">
        <f>VLOOKUP(Table15[[#Headers],[ARS]],Table2[#All],4,FALSE)</f>
        <v>0.8</v>
      </c>
      <c r="E51">
        <f>VLOOKUP(Table15[[#Headers],[BAR]],Table2[#All],4,FALSE)*Table112[[#This Row],[BAR]]</f>
        <v>0</v>
      </c>
      <c r="F51">
        <f>VLOOKUP(Table15[[#Headers],[BER]],Table2[#All],4,FALSE)*Table112[[#This Row],[BER]]</f>
        <v>0</v>
      </c>
      <c r="G51">
        <f>VLOOKUP(Table15[[#Headers],[BIS]],Table2[#All],4,FALSE)*Table112[[#This Row],[BIS]]</f>
        <v>0</v>
      </c>
      <c r="H51">
        <f>VLOOKUP(Table15[[#Headers],[BOR]],Table2[#All],4,FALSE)*Table112[[#This Row],[BOR]]</f>
        <v>0</v>
      </c>
      <c r="I51">
        <f>VLOOKUP(Table15[[#Headers],[CES]],Table2[#All],4,FALSE)*Table112[[#This Row],[CES]]</f>
        <v>0</v>
      </c>
      <c r="J51">
        <f>VLOOKUP(Table15[[#Headers],[CHR]],Table2[#All],4,FALSE)*Table112[[#This Row],[CHR]]</f>
        <v>0</v>
      </c>
      <c r="K51">
        <f>VLOOKUP(Table15[[#Headers],[COB]],Table2[#All],4,FALSE)*Table112[[#This Row],[COB]]</f>
        <v>0</v>
      </c>
      <c r="L51">
        <f>VLOOKUP(Table15[[#Headers],[COP]],Table2[#All],4,FALSE)*Table112[[#This Row],[COP]]</f>
        <v>0</v>
      </c>
      <c r="M51">
        <f>VLOOKUP(Table15[[#Headers],[FLU]],Table2[#All],4,FALSE)*Table112[[#This Row],[FLU]]</f>
        <v>0</v>
      </c>
      <c r="N51">
        <f>VLOOKUP(Table15[[#Headers],[GAL]],Table2[#All],4,FALSE)*Table112[[#This Row],[GAL]]</f>
        <v>0</v>
      </c>
      <c r="O51">
        <f>VLOOKUP(Table15[[#Headers],[GER]],Table2[#All],4,FALSE)*Table112[[#This Row],[GER]]</f>
        <v>0</v>
      </c>
      <c r="P51">
        <f>VLOOKUP(Table15[[#Headers],[GRA]],Table2[#All],4,FALSE)*Table112[[#This Row],[GRA]]</f>
        <v>0</v>
      </c>
      <c r="Q51">
        <f>VLOOKUP(Table15[[#Headers],[HAF]],Table2[#All],4,FALSE)*Table112[[#This Row],[HAF]]</f>
        <v>0</v>
      </c>
      <c r="R51">
        <f>VLOOKUP(Table15[[#Headers],[IND]],Table2[#All],4,FALSE)*Table112[[#This Row],[IND]]</f>
        <v>0</v>
      </c>
      <c r="S51">
        <f>VLOOKUP(Table15[[#Headers],[IRI]],Table2[#All],4,FALSE)*Table112[[#This Row],[IRI]]</f>
        <v>0</v>
      </c>
      <c r="T51">
        <f>VLOOKUP(Table15[[#Headers],[LED]],Table2[#All],4,FALSE)*Table112[[#This Row],[LED]]</f>
        <v>0</v>
      </c>
      <c r="U51">
        <f>VLOOKUP(Table15[[#Headers],[LIT]],Table2[#All],4,FALSE)*Table112[[#This Row],[LIT]]</f>
        <v>0</v>
      </c>
      <c r="V51">
        <f>VLOOKUP(Table15[[#Headers],[MAG]],Table2[#All],4,FALSE)*Table112[[#This Row],[MAG]]</f>
        <v>0</v>
      </c>
      <c r="W51">
        <f>VLOOKUP(Table15[[#Headers],[MAN]],Table2[#All],4,FALSE)*Table112[[#This Row],[MAN]]</f>
        <v>0</v>
      </c>
      <c r="X51">
        <f>VLOOKUP(Table15[[#Headers],[MCO]],Table2[#All],4,FALSE)*Table112[[#This Row],[MCO]]</f>
        <v>0</v>
      </c>
      <c r="Y51">
        <f>VLOOKUP(Table15[[#Headers],[NIC]],Table2[#All],4,FALSE)*Table112[[#This Row],[NIC]]</f>
        <v>0</v>
      </c>
      <c r="Z51">
        <f>VLOOKUP(Table15[[#Headers],[NIO]],Table2[#All],4,FALSE)*Table112[[#This Row],[NIO]]</f>
        <v>0</v>
      </c>
      <c r="AA51">
        <f>VLOOKUP(Table15[[#Headers],[PAL]],Table2[#All],4,FALSE)*Table112[[#This Row],[PAL]]</f>
        <v>0</v>
      </c>
      <c r="AB51">
        <f>VLOOKUP(Table15[[#Headers],[PHO]],Table2[#All],4,FALSE)*Table112[[#This Row],[PHO]]</f>
        <v>0</v>
      </c>
      <c r="AC51">
        <f>VLOOKUP(Table15[[#Headers],[PLA]],Table2[#All],4,FALSE)*Table112[[#This Row],[PLA]]</f>
        <v>0</v>
      </c>
      <c r="AD51">
        <f>VLOOKUP(Table15[[#Headers],[POT]],Table2[#All],4,FALSE)*Table112[[#This Row],[POT]]</f>
        <v>0</v>
      </c>
      <c r="AE51">
        <f>VLOOKUP(Table15[[#Headers],[RHE]],Table2[#All],4,FALSE)*Table112[[#This Row],[RHE]]</f>
        <v>0</v>
      </c>
      <c r="AF51">
        <f>VLOOKUP(Table15[[#Headers],[RHO]],Table2[#All],4,FALSE)*Table112[[#This Row],[RHO]]</f>
        <v>0</v>
      </c>
      <c r="AG51">
        <f>VLOOKUP(Table15[[#Headers],[RUB]],Table2[#All],4,FALSE)*Table112[[#This Row],[RUB]]</f>
        <v>0</v>
      </c>
      <c r="AH51">
        <f>VLOOKUP(Table15[[#Headers],[RUT]],Table2[#All],4,FALSE)*Table112[[#This Row],[RUT]]</f>
        <v>0</v>
      </c>
      <c r="AI51">
        <f>VLOOKUP(Table15[[#Headers],[SCA]],Table2[#All],4,FALSE)*Table112[[#This Row],[SCA]]</f>
        <v>0</v>
      </c>
      <c r="AJ51">
        <f>VLOOKUP(Table15[[#Headers],[SIL]],Table2[#All],4,FALSE)*Table112[[#This Row],[SIL]]</f>
        <v>0</v>
      </c>
      <c r="AK51">
        <f>VLOOKUP(Table15[[#Headers],[SLV]],Table2[#All],4,FALSE)*Table112[[#This Row],[SLV]]</f>
        <v>0</v>
      </c>
      <c r="AL51">
        <f>VLOOKUP(Table15[[#Headers],[TAN]],Table2[#All],4,FALSE)*Table112[[#This Row],[TAN]]</f>
        <v>0</v>
      </c>
      <c r="AM51">
        <f>VLOOKUP(Table15[[#Headers],[TEL]],Table2[#All],4,FALSE)*Table112[[#This Row],[TEL]]</f>
        <v>0.8</v>
      </c>
      <c r="AN51">
        <f>VLOOKUP(Table15[[#Headers],[TIN]],Table2[#All],4,FALSE)*Table112[[#This Row],[TIN]]</f>
        <v>0</v>
      </c>
      <c r="AO51">
        <f>VLOOKUP(Table15[[#Headers],[TIT]],Table2[#All],4,FALSE)*Table112[[#This Row],[TIT]]</f>
        <v>0</v>
      </c>
      <c r="AP51">
        <f>VLOOKUP(Table15[[#Headers],[TUN]],Table2[#All],4,FALSE)*Table112[[#This Row],[TUN]]</f>
        <v>0</v>
      </c>
      <c r="AQ51">
        <f>VLOOKUP(Table15[[#Headers],[URA]],Table2[#All],4,FALSE)*Table112[[#This Row],[URA]]</f>
        <v>0</v>
      </c>
      <c r="AR51">
        <f>VLOOKUP(Table15[[#Headers],[VAN]],Table2[#All],4,FALSE)*Table112[[#This Row],[VAN]]</f>
        <v>0</v>
      </c>
      <c r="AS51">
        <f>VLOOKUP(Table15[[#Headers],[ZIN]],Table2[#All],4,FALSE)*Table112[[#This Row],[ZIN]]</f>
        <v>0</v>
      </c>
      <c r="AT51">
        <f>VLOOKUP(Table15[[#Headers],[ZIR]],Table2[#All],4,FALSE)*Table112[[#This Row],[ZIR]]</f>
        <v>0</v>
      </c>
      <c r="AU51">
        <f>VLOOKUP(Table15[[#Headers],[REE]],Table2[#All],4,FALSE)*Table112[[#This Row],[REE]]</f>
        <v>0</v>
      </c>
      <c r="AV51">
        <f t="shared" si="1"/>
        <v>1.6</v>
      </c>
    </row>
    <row r="52" spans="1:48">
      <c r="A52" t="s">
        <v>571</v>
      </c>
      <c r="B52">
        <f>VLOOKUP(Table15[[#Headers],[ALU]],Table2[#All],4,FALSE)*Table112[[#This Row],[ALU]]</f>
        <v>0</v>
      </c>
      <c r="C52">
        <f>VLOOKUP(Table15[[#Headers],[ANT]],Table2[#All],4,FALSE)*Table112[[#This Row],[ANT]]</f>
        <v>0.66666666666666663</v>
      </c>
      <c r="D52">
        <f>VLOOKUP(Table15[[#Headers],[ARS]],Table2[#All],4,FALSE)</f>
        <v>0.8</v>
      </c>
      <c r="E52">
        <f>VLOOKUP(Table15[[#Headers],[BAR]],Table2[#All],4,FALSE)*Table112[[#This Row],[BAR]]</f>
        <v>0</v>
      </c>
      <c r="F52">
        <f>VLOOKUP(Table15[[#Headers],[BER]],Table2[#All],4,FALSE)*Table112[[#This Row],[BER]]</f>
        <v>0</v>
      </c>
      <c r="G52">
        <f>VLOOKUP(Table15[[#Headers],[BIS]],Table2[#All],4,FALSE)*Table112[[#This Row],[BIS]]</f>
        <v>0</v>
      </c>
      <c r="H52">
        <f>VLOOKUP(Table15[[#Headers],[BOR]],Table2[#All],4,FALSE)*Table112[[#This Row],[BOR]]</f>
        <v>0</v>
      </c>
      <c r="I52">
        <f>VLOOKUP(Table15[[#Headers],[CES]],Table2[#All],4,FALSE)*Table112[[#This Row],[CES]]</f>
        <v>0</v>
      </c>
      <c r="J52">
        <f>VLOOKUP(Table15[[#Headers],[CHR]],Table2[#All],4,FALSE)*Table112[[#This Row],[CHR]]</f>
        <v>0</v>
      </c>
      <c r="K52">
        <f>VLOOKUP(Table15[[#Headers],[COB]],Table2[#All],4,FALSE)*Table112[[#This Row],[COB]]</f>
        <v>0</v>
      </c>
      <c r="L52">
        <f>VLOOKUP(Table15[[#Headers],[COP]],Table2[#All],4,FALSE)*Table112[[#This Row],[COP]]</f>
        <v>0</v>
      </c>
      <c r="M52">
        <f>VLOOKUP(Table15[[#Headers],[FLU]],Table2[#All],4,FALSE)*Table112[[#This Row],[FLU]]</f>
        <v>0</v>
      </c>
      <c r="N52">
        <f>VLOOKUP(Table15[[#Headers],[GAL]],Table2[#All],4,FALSE)*Table112[[#This Row],[GAL]]</f>
        <v>0</v>
      </c>
      <c r="O52">
        <f>VLOOKUP(Table15[[#Headers],[GER]],Table2[#All],4,FALSE)*Table112[[#This Row],[GER]]</f>
        <v>0</v>
      </c>
      <c r="P52">
        <f>VLOOKUP(Table15[[#Headers],[GRA]],Table2[#All],4,FALSE)*Table112[[#This Row],[GRA]]</f>
        <v>0</v>
      </c>
      <c r="Q52">
        <f>VLOOKUP(Table15[[#Headers],[HAF]],Table2[#All],4,FALSE)*Table112[[#This Row],[HAF]]</f>
        <v>0</v>
      </c>
      <c r="R52">
        <f>VLOOKUP(Table15[[#Headers],[IND]],Table2[#All],4,FALSE)*Table112[[#This Row],[IND]]</f>
        <v>0</v>
      </c>
      <c r="S52">
        <f>VLOOKUP(Table15[[#Headers],[IRI]],Table2[#All],4,FALSE)*Table112[[#This Row],[IRI]]</f>
        <v>0</v>
      </c>
      <c r="T52">
        <f>VLOOKUP(Table15[[#Headers],[LED]],Table2[#All],4,FALSE)*Table112[[#This Row],[LED]]</f>
        <v>0</v>
      </c>
      <c r="U52">
        <f>VLOOKUP(Table15[[#Headers],[LIT]],Table2[#All],4,FALSE)*Table112[[#This Row],[LIT]]</f>
        <v>0</v>
      </c>
      <c r="V52">
        <f>VLOOKUP(Table15[[#Headers],[MAG]],Table2[#All],4,FALSE)*Table112[[#This Row],[MAG]]</f>
        <v>0</v>
      </c>
      <c r="W52">
        <f>VLOOKUP(Table15[[#Headers],[MAN]],Table2[#All],4,FALSE)*Table112[[#This Row],[MAN]]</f>
        <v>0</v>
      </c>
      <c r="X52">
        <f>VLOOKUP(Table15[[#Headers],[MCO]],Table2[#All],4,FALSE)*Table112[[#This Row],[MCO]]</f>
        <v>0</v>
      </c>
      <c r="Y52">
        <f>VLOOKUP(Table15[[#Headers],[NIC]],Table2[#All],4,FALSE)*Table112[[#This Row],[NIC]]</f>
        <v>0</v>
      </c>
      <c r="Z52">
        <f>VLOOKUP(Table15[[#Headers],[NIO]],Table2[#All],4,FALSE)*Table112[[#This Row],[NIO]]</f>
        <v>0</v>
      </c>
      <c r="AA52">
        <f>VLOOKUP(Table15[[#Headers],[PAL]],Table2[#All],4,FALSE)*Table112[[#This Row],[PAL]]</f>
        <v>0</v>
      </c>
      <c r="AB52">
        <f>VLOOKUP(Table15[[#Headers],[PHO]],Table2[#All],4,FALSE)*Table112[[#This Row],[PHO]]</f>
        <v>0</v>
      </c>
      <c r="AC52">
        <f>VLOOKUP(Table15[[#Headers],[PLA]],Table2[#All],4,FALSE)*Table112[[#This Row],[PLA]]</f>
        <v>0</v>
      </c>
      <c r="AD52">
        <f>VLOOKUP(Table15[[#Headers],[POT]],Table2[#All],4,FALSE)*Table112[[#This Row],[POT]]</f>
        <v>0</v>
      </c>
      <c r="AE52">
        <f>VLOOKUP(Table15[[#Headers],[RHE]],Table2[#All],4,FALSE)*Table112[[#This Row],[RHE]]</f>
        <v>0</v>
      </c>
      <c r="AF52">
        <f>VLOOKUP(Table15[[#Headers],[RHO]],Table2[#All],4,FALSE)*Table112[[#This Row],[RHO]]</f>
        <v>0</v>
      </c>
      <c r="AG52">
        <f>VLOOKUP(Table15[[#Headers],[RUB]],Table2[#All],4,FALSE)*Table112[[#This Row],[RUB]]</f>
        <v>0</v>
      </c>
      <c r="AH52">
        <f>VLOOKUP(Table15[[#Headers],[RUT]],Table2[#All],4,FALSE)*Table112[[#This Row],[RUT]]</f>
        <v>0</v>
      </c>
      <c r="AI52">
        <f>VLOOKUP(Table15[[#Headers],[SCA]],Table2[#All],4,FALSE)*Table112[[#This Row],[SCA]]</f>
        <v>0</v>
      </c>
      <c r="AJ52">
        <f>VLOOKUP(Table15[[#Headers],[SIL]],Table2[#All],4,FALSE)*Table112[[#This Row],[SIL]]</f>
        <v>0</v>
      </c>
      <c r="AK52">
        <f>VLOOKUP(Table15[[#Headers],[SLV]],Table2[#All],4,FALSE)*Table112[[#This Row],[SLV]]</f>
        <v>0</v>
      </c>
      <c r="AL52">
        <f>VLOOKUP(Table15[[#Headers],[TAN]],Table2[#All],4,FALSE)*Table112[[#This Row],[TAN]]</f>
        <v>0</v>
      </c>
      <c r="AM52">
        <f>VLOOKUP(Table15[[#Headers],[TEL]],Table2[#All],4,FALSE)*Table112[[#This Row],[TEL]]</f>
        <v>0</v>
      </c>
      <c r="AN52">
        <f>VLOOKUP(Table15[[#Headers],[TIN]],Table2[#All],4,FALSE)*Table112[[#This Row],[TIN]]</f>
        <v>0</v>
      </c>
      <c r="AO52">
        <f>VLOOKUP(Table15[[#Headers],[TIT]],Table2[#All],4,FALSE)*Table112[[#This Row],[TIT]]</f>
        <v>0</v>
      </c>
      <c r="AP52">
        <f>VLOOKUP(Table15[[#Headers],[TUN]],Table2[#All],4,FALSE)*Table112[[#This Row],[TUN]]</f>
        <v>0</v>
      </c>
      <c r="AQ52">
        <f>VLOOKUP(Table15[[#Headers],[URA]],Table2[#All],4,FALSE)*Table112[[#This Row],[URA]]</f>
        <v>0</v>
      </c>
      <c r="AR52">
        <f>VLOOKUP(Table15[[#Headers],[VAN]],Table2[#All],4,FALSE)*Table112[[#This Row],[VAN]]</f>
        <v>0</v>
      </c>
      <c r="AS52">
        <f>VLOOKUP(Table15[[#Headers],[ZIN]],Table2[#All],4,FALSE)*Table112[[#This Row],[ZIN]]</f>
        <v>0</v>
      </c>
      <c r="AT52">
        <f>VLOOKUP(Table15[[#Headers],[ZIR]],Table2[#All],4,FALSE)*Table112[[#This Row],[ZIR]]</f>
        <v>0</v>
      </c>
      <c r="AU52">
        <f>VLOOKUP(Table15[[#Headers],[REE]],Table2[#All],4,FALSE)*Table112[[#This Row],[REE]]</f>
        <v>0</v>
      </c>
      <c r="AV52">
        <f t="shared" si="1"/>
        <v>1.4666666666666668</v>
      </c>
    </row>
    <row r="53" spans="1:48">
      <c r="A53" t="s">
        <v>682</v>
      </c>
      <c r="B53">
        <f>VLOOKUP(Table15[[#Headers],[ALU]],Table2[#All],4,FALSE)*Table112[[#This Row],[ALU]]</f>
        <v>0</v>
      </c>
      <c r="C53">
        <f>VLOOKUP(Table15[[#Headers],[ANT]],Table2[#All],4,FALSE)*Table112[[#This Row],[ANT]]</f>
        <v>0</v>
      </c>
      <c r="D53">
        <f>VLOOKUP(Table15[[#Headers],[ARS]],Table2[#All],4,FALSE)</f>
        <v>0.8</v>
      </c>
      <c r="E53">
        <f>VLOOKUP(Table15[[#Headers],[BAR]],Table2[#All],4,FALSE)*Table112[[#This Row],[BAR]]</f>
        <v>0</v>
      </c>
      <c r="F53">
        <f>VLOOKUP(Table15[[#Headers],[BER]],Table2[#All],4,FALSE)*Table112[[#This Row],[BER]]</f>
        <v>0</v>
      </c>
      <c r="G53">
        <f>VLOOKUP(Table15[[#Headers],[BIS]],Table2[#All],4,FALSE)*Table112[[#This Row],[BIS]]</f>
        <v>0</v>
      </c>
      <c r="H53">
        <f>VLOOKUP(Table15[[#Headers],[BOR]],Table2[#All],4,FALSE)*Table112[[#This Row],[BOR]]</f>
        <v>0</v>
      </c>
      <c r="I53">
        <f>VLOOKUP(Table15[[#Headers],[CES]],Table2[#All],4,FALSE)*Table112[[#This Row],[CES]]</f>
        <v>0</v>
      </c>
      <c r="J53">
        <f>VLOOKUP(Table15[[#Headers],[CHR]],Table2[#All],4,FALSE)*Table112[[#This Row],[CHR]]</f>
        <v>0</v>
      </c>
      <c r="K53">
        <f>VLOOKUP(Table15[[#Headers],[COB]],Table2[#All],4,FALSE)*Table112[[#This Row],[COB]]</f>
        <v>0</v>
      </c>
      <c r="L53">
        <f>VLOOKUP(Table15[[#Headers],[COP]],Table2[#All],4,FALSE)*Table112[[#This Row],[COP]]</f>
        <v>0</v>
      </c>
      <c r="M53">
        <f>VLOOKUP(Table15[[#Headers],[FLU]],Table2[#All],4,FALSE)*Table112[[#This Row],[FLU]]</f>
        <v>0</v>
      </c>
      <c r="N53">
        <f>VLOOKUP(Table15[[#Headers],[GAL]],Table2[#All],4,FALSE)*Table112[[#This Row],[GAL]]</f>
        <v>0</v>
      </c>
      <c r="O53">
        <f>VLOOKUP(Table15[[#Headers],[GER]],Table2[#All],4,FALSE)*Table112[[#This Row],[GER]]</f>
        <v>0</v>
      </c>
      <c r="P53">
        <f>VLOOKUP(Table15[[#Headers],[GRA]],Table2[#All],4,FALSE)*Table112[[#This Row],[GRA]]</f>
        <v>0</v>
      </c>
      <c r="Q53">
        <f>VLOOKUP(Table15[[#Headers],[HAF]],Table2[#All],4,FALSE)*Table112[[#This Row],[HAF]]</f>
        <v>0</v>
      </c>
      <c r="R53">
        <f>VLOOKUP(Table15[[#Headers],[IND]],Table2[#All],4,FALSE)*Table112[[#This Row],[IND]]</f>
        <v>0</v>
      </c>
      <c r="S53">
        <f>VLOOKUP(Table15[[#Headers],[IRI]],Table2[#All],4,FALSE)*Table112[[#This Row],[IRI]]</f>
        <v>0</v>
      </c>
      <c r="T53">
        <f>VLOOKUP(Table15[[#Headers],[LED]],Table2[#All],4,FALSE)*Table112[[#This Row],[LED]]</f>
        <v>0</v>
      </c>
      <c r="U53">
        <f>VLOOKUP(Table15[[#Headers],[LIT]],Table2[#All],4,FALSE)*Table112[[#This Row],[LIT]]</f>
        <v>0</v>
      </c>
      <c r="V53">
        <f>VLOOKUP(Table15[[#Headers],[MAG]],Table2[#All],4,FALSE)*Table112[[#This Row],[MAG]]</f>
        <v>0</v>
      </c>
      <c r="W53">
        <f>VLOOKUP(Table15[[#Headers],[MAN]],Table2[#All],4,FALSE)*Table112[[#This Row],[MAN]]</f>
        <v>0</v>
      </c>
      <c r="X53">
        <f>VLOOKUP(Table15[[#Headers],[MCO]],Table2[#All],4,FALSE)*Table112[[#This Row],[MCO]]</f>
        <v>0</v>
      </c>
      <c r="Y53">
        <f>VLOOKUP(Table15[[#Headers],[NIC]],Table2[#All],4,FALSE)*Table112[[#This Row],[NIC]]</f>
        <v>0</v>
      </c>
      <c r="Z53">
        <f>VLOOKUP(Table15[[#Headers],[NIO]],Table2[#All],4,FALSE)*Table112[[#This Row],[NIO]]</f>
        <v>0</v>
      </c>
      <c r="AA53">
        <f>VLOOKUP(Table15[[#Headers],[PAL]],Table2[#All],4,FALSE)*Table112[[#This Row],[PAL]]</f>
        <v>0</v>
      </c>
      <c r="AB53">
        <f>VLOOKUP(Table15[[#Headers],[PHO]],Table2[#All],4,FALSE)*Table112[[#This Row],[PHO]]</f>
        <v>0</v>
      </c>
      <c r="AC53">
        <f>VLOOKUP(Table15[[#Headers],[PLA]],Table2[#All],4,FALSE)*Table112[[#This Row],[PLA]]</f>
        <v>0</v>
      </c>
      <c r="AD53">
        <f>VLOOKUP(Table15[[#Headers],[POT]],Table2[#All],4,FALSE)*Table112[[#This Row],[POT]]</f>
        <v>0</v>
      </c>
      <c r="AE53">
        <f>VLOOKUP(Table15[[#Headers],[RHE]],Table2[#All],4,FALSE)*Table112[[#This Row],[RHE]]</f>
        <v>0</v>
      </c>
      <c r="AF53">
        <f>VLOOKUP(Table15[[#Headers],[RHO]],Table2[#All],4,FALSE)*Table112[[#This Row],[RHO]]</f>
        <v>0</v>
      </c>
      <c r="AG53">
        <f>VLOOKUP(Table15[[#Headers],[RUB]],Table2[#All],4,FALSE)*Table112[[#This Row],[RUB]]</f>
        <v>0</v>
      </c>
      <c r="AH53">
        <f>VLOOKUP(Table15[[#Headers],[RUT]],Table2[#All],4,FALSE)*Table112[[#This Row],[RUT]]</f>
        <v>0</v>
      </c>
      <c r="AI53">
        <f>VLOOKUP(Table15[[#Headers],[SCA]],Table2[#All],4,FALSE)*Table112[[#This Row],[SCA]]</f>
        <v>0</v>
      </c>
      <c r="AJ53">
        <f>VLOOKUP(Table15[[#Headers],[SIL]],Table2[#All],4,FALSE)*Table112[[#This Row],[SIL]]</f>
        <v>0</v>
      </c>
      <c r="AK53">
        <f>VLOOKUP(Table15[[#Headers],[SLV]],Table2[#All],4,FALSE)*Table112[[#This Row],[SLV]]</f>
        <v>0</v>
      </c>
      <c r="AL53">
        <f>VLOOKUP(Table15[[#Headers],[TAN]],Table2[#All],4,FALSE)*Table112[[#This Row],[TAN]]</f>
        <v>0</v>
      </c>
      <c r="AM53">
        <f>VLOOKUP(Table15[[#Headers],[TEL]],Table2[#All],4,FALSE)*Table112[[#This Row],[TEL]]</f>
        <v>0</v>
      </c>
      <c r="AN53">
        <f>VLOOKUP(Table15[[#Headers],[TIN]],Table2[#All],4,FALSE)*Table112[[#This Row],[TIN]]</f>
        <v>0</v>
      </c>
      <c r="AO53">
        <f>VLOOKUP(Table15[[#Headers],[TIT]],Table2[#All],4,FALSE)*Table112[[#This Row],[TIT]]</f>
        <v>0</v>
      </c>
      <c r="AP53">
        <f>VLOOKUP(Table15[[#Headers],[TUN]],Table2[#All],4,FALSE)*Table112[[#This Row],[TUN]]</f>
        <v>0</v>
      </c>
      <c r="AQ53">
        <f>VLOOKUP(Table15[[#Headers],[URA]],Table2[#All],4,FALSE)*Table112[[#This Row],[URA]]</f>
        <v>0.5</v>
      </c>
      <c r="AR53">
        <f>VLOOKUP(Table15[[#Headers],[VAN]],Table2[#All],4,FALSE)*Table112[[#This Row],[VAN]]</f>
        <v>0</v>
      </c>
      <c r="AS53">
        <f>VLOOKUP(Table15[[#Headers],[ZIN]],Table2[#All],4,FALSE)*Table112[[#This Row],[ZIN]]</f>
        <v>0</v>
      </c>
      <c r="AT53">
        <f>VLOOKUP(Table15[[#Headers],[ZIR]],Table2[#All],4,FALSE)*Table112[[#This Row],[ZIR]]</f>
        <v>0</v>
      </c>
      <c r="AU53">
        <f>VLOOKUP(Table15[[#Headers],[REE]],Table2[#All],4,FALSE)*Table112[[#This Row],[REE]]</f>
        <v>0</v>
      </c>
      <c r="AV53">
        <f t="shared" si="1"/>
        <v>1.3</v>
      </c>
    </row>
    <row r="54" spans="1:48">
      <c r="A54" t="s">
        <v>596</v>
      </c>
      <c r="B54">
        <f>VLOOKUP(Table15[[#Headers],[ALU]],Table2[#All],4,FALSE)*Table112[[#This Row],[ALU]]</f>
        <v>0</v>
      </c>
      <c r="C54">
        <f>VLOOKUP(Table15[[#Headers],[ANT]],Table2[#All],4,FALSE)*Table112[[#This Row],[ANT]]</f>
        <v>0</v>
      </c>
      <c r="D54">
        <f>VLOOKUP(Table15[[#Headers],[ARS]],Table2[#All],4,FALSE)</f>
        <v>0.8</v>
      </c>
      <c r="E54">
        <f>VLOOKUP(Table15[[#Headers],[BAR]],Table2[#All],4,FALSE)*Table112[[#This Row],[BAR]]</f>
        <v>0</v>
      </c>
      <c r="F54">
        <f>VLOOKUP(Table15[[#Headers],[BER]],Table2[#All],4,FALSE)*Table112[[#This Row],[BER]]</f>
        <v>0</v>
      </c>
      <c r="G54">
        <f>VLOOKUP(Table15[[#Headers],[BIS]],Table2[#All],4,FALSE)*Table112[[#This Row],[BIS]]</f>
        <v>0</v>
      </c>
      <c r="H54">
        <f>VLOOKUP(Table15[[#Headers],[BOR]],Table2[#All],4,FALSE)*Table112[[#This Row],[BOR]]</f>
        <v>0</v>
      </c>
      <c r="I54">
        <f>VLOOKUP(Table15[[#Headers],[CES]],Table2[#All],4,FALSE)*Table112[[#This Row],[CES]]</f>
        <v>0</v>
      </c>
      <c r="J54">
        <f>VLOOKUP(Table15[[#Headers],[CHR]],Table2[#All],4,FALSE)*Table112[[#This Row],[CHR]]</f>
        <v>0</v>
      </c>
      <c r="K54">
        <f>VLOOKUP(Table15[[#Headers],[COB]],Table2[#All],4,FALSE)*Table112[[#This Row],[COB]]</f>
        <v>0</v>
      </c>
      <c r="L54">
        <f>VLOOKUP(Table15[[#Headers],[COP]],Table2[#All],4,FALSE)*Table112[[#This Row],[COP]]</f>
        <v>0.5714285714285714</v>
      </c>
      <c r="M54">
        <f>VLOOKUP(Table15[[#Headers],[FLU]],Table2[#All],4,FALSE)*Table112[[#This Row],[FLU]]</f>
        <v>0</v>
      </c>
      <c r="N54">
        <f>VLOOKUP(Table15[[#Headers],[GAL]],Table2[#All],4,FALSE)*Table112[[#This Row],[GAL]]</f>
        <v>0</v>
      </c>
      <c r="O54">
        <f>VLOOKUP(Table15[[#Headers],[GER]],Table2[#All],4,FALSE)*Table112[[#This Row],[GER]]</f>
        <v>0</v>
      </c>
      <c r="P54">
        <f>VLOOKUP(Table15[[#Headers],[GRA]],Table2[#All],4,FALSE)*Table112[[#This Row],[GRA]]</f>
        <v>0</v>
      </c>
      <c r="Q54">
        <f>VLOOKUP(Table15[[#Headers],[HAF]],Table2[#All],4,FALSE)*Table112[[#This Row],[HAF]]</f>
        <v>0</v>
      </c>
      <c r="R54">
        <f>VLOOKUP(Table15[[#Headers],[IND]],Table2[#All],4,FALSE)*Table112[[#This Row],[IND]]</f>
        <v>0</v>
      </c>
      <c r="S54">
        <f>VLOOKUP(Table15[[#Headers],[IRI]],Table2[#All],4,FALSE)*Table112[[#This Row],[IRI]]</f>
        <v>0</v>
      </c>
      <c r="T54">
        <f>VLOOKUP(Table15[[#Headers],[LED]],Table2[#All],4,FALSE)*Table112[[#This Row],[LED]]</f>
        <v>0</v>
      </c>
      <c r="U54">
        <f>VLOOKUP(Table15[[#Headers],[LIT]],Table2[#All],4,FALSE)*Table112[[#This Row],[LIT]]</f>
        <v>0</v>
      </c>
      <c r="V54">
        <f>VLOOKUP(Table15[[#Headers],[MAG]],Table2[#All],4,FALSE)*Table112[[#This Row],[MAG]]</f>
        <v>0</v>
      </c>
      <c r="W54">
        <f>VLOOKUP(Table15[[#Headers],[MAN]],Table2[#All],4,FALSE)*Table112[[#This Row],[MAN]]</f>
        <v>0</v>
      </c>
      <c r="X54">
        <f>VLOOKUP(Table15[[#Headers],[MCO]],Table2[#All],4,FALSE)*Table112[[#This Row],[MCO]]</f>
        <v>0</v>
      </c>
      <c r="Y54">
        <f>VLOOKUP(Table15[[#Headers],[NIC]],Table2[#All],4,FALSE)*Table112[[#This Row],[NIC]]</f>
        <v>0</v>
      </c>
      <c r="Z54">
        <f>VLOOKUP(Table15[[#Headers],[NIO]],Table2[#All],4,FALSE)*Table112[[#This Row],[NIO]]</f>
        <v>0</v>
      </c>
      <c r="AA54">
        <f>VLOOKUP(Table15[[#Headers],[PAL]],Table2[#All],4,FALSE)*Table112[[#This Row],[PAL]]</f>
        <v>0</v>
      </c>
      <c r="AB54">
        <f>VLOOKUP(Table15[[#Headers],[PHO]],Table2[#All],4,FALSE)*Table112[[#This Row],[PHO]]</f>
        <v>0</v>
      </c>
      <c r="AC54">
        <f>VLOOKUP(Table15[[#Headers],[PLA]],Table2[#All],4,FALSE)*Table112[[#This Row],[PLA]]</f>
        <v>0</v>
      </c>
      <c r="AD54">
        <f>VLOOKUP(Table15[[#Headers],[POT]],Table2[#All],4,FALSE)*Table112[[#This Row],[POT]]</f>
        <v>0</v>
      </c>
      <c r="AE54">
        <f>VLOOKUP(Table15[[#Headers],[RHE]],Table2[#All],4,FALSE)*Table112[[#This Row],[RHE]]</f>
        <v>0</v>
      </c>
      <c r="AF54">
        <f>VLOOKUP(Table15[[#Headers],[RHO]],Table2[#All],4,FALSE)*Table112[[#This Row],[RHO]]</f>
        <v>0</v>
      </c>
      <c r="AG54">
        <f>VLOOKUP(Table15[[#Headers],[RUB]],Table2[#All],4,FALSE)*Table112[[#This Row],[RUB]]</f>
        <v>0</v>
      </c>
      <c r="AH54">
        <f>VLOOKUP(Table15[[#Headers],[RUT]],Table2[#All],4,FALSE)*Table112[[#This Row],[RUT]]</f>
        <v>0</v>
      </c>
      <c r="AI54">
        <f>VLOOKUP(Table15[[#Headers],[SCA]],Table2[#All],4,FALSE)*Table112[[#This Row],[SCA]]</f>
        <v>0</v>
      </c>
      <c r="AJ54">
        <f>VLOOKUP(Table15[[#Headers],[SIL]],Table2[#All],4,FALSE)*Table112[[#This Row],[SIL]]</f>
        <v>0</v>
      </c>
      <c r="AK54">
        <f>VLOOKUP(Table15[[#Headers],[SLV]],Table2[#All],4,FALSE)*Table112[[#This Row],[SLV]]</f>
        <v>0</v>
      </c>
      <c r="AL54">
        <f>VLOOKUP(Table15[[#Headers],[TAN]],Table2[#All],4,FALSE)*Table112[[#This Row],[TAN]]</f>
        <v>0</v>
      </c>
      <c r="AM54">
        <f>VLOOKUP(Table15[[#Headers],[TEL]],Table2[#All],4,FALSE)*Table112[[#This Row],[TEL]]</f>
        <v>0</v>
      </c>
      <c r="AN54">
        <f>VLOOKUP(Table15[[#Headers],[TIN]],Table2[#All],4,FALSE)*Table112[[#This Row],[TIN]]</f>
        <v>0</v>
      </c>
      <c r="AO54">
        <f>VLOOKUP(Table15[[#Headers],[TIT]],Table2[#All],4,FALSE)*Table112[[#This Row],[TIT]]</f>
        <v>0</v>
      </c>
      <c r="AP54">
        <f>VLOOKUP(Table15[[#Headers],[TUN]],Table2[#All],4,FALSE)*Table112[[#This Row],[TUN]]</f>
        <v>0</v>
      </c>
      <c r="AQ54">
        <f>VLOOKUP(Table15[[#Headers],[URA]],Table2[#All],4,FALSE)*Table112[[#This Row],[URA]]</f>
        <v>0</v>
      </c>
      <c r="AR54">
        <f>VLOOKUP(Table15[[#Headers],[VAN]],Table2[#All],4,FALSE)*Table112[[#This Row],[VAN]]</f>
        <v>0</v>
      </c>
      <c r="AS54">
        <f>VLOOKUP(Table15[[#Headers],[ZIN]],Table2[#All],4,FALSE)*Table112[[#This Row],[ZIN]]</f>
        <v>0</v>
      </c>
      <c r="AT54">
        <f>VLOOKUP(Table15[[#Headers],[ZIR]],Table2[#All],4,FALSE)*Table112[[#This Row],[ZIR]]</f>
        <v>0</v>
      </c>
      <c r="AU54">
        <f>VLOOKUP(Table15[[#Headers],[REE]],Table2[#All],4,FALSE)*Table112[[#This Row],[REE]]</f>
        <v>0</v>
      </c>
      <c r="AV54">
        <f t="shared" si="1"/>
        <v>1.3714285714285714</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239A0-CA08-4255-A0FF-56129BA5BE22}">
  <dimension ref="A1:C24"/>
  <sheetViews>
    <sheetView tabSelected="1" topLeftCell="A17" workbookViewId="0">
      <selection activeCell="A19" sqref="A19"/>
    </sheetView>
  </sheetViews>
  <sheetFormatPr defaultRowHeight="14.4"/>
  <cols>
    <col min="1" max="1" width="14.77734375" bestFit="1" customWidth="1"/>
    <col min="2" max="2" width="71.33203125" customWidth="1"/>
    <col min="3" max="3" width="14.6640625" bestFit="1" customWidth="1"/>
  </cols>
  <sheetData>
    <row r="1" spans="1:3">
      <c r="A1" s="5" t="s">
        <v>857</v>
      </c>
      <c r="B1" s="5" t="s">
        <v>858</v>
      </c>
      <c r="C1" s="5" t="s">
        <v>860</v>
      </c>
    </row>
    <row r="2" spans="1:3" ht="230.4">
      <c r="A2" t="s">
        <v>859</v>
      </c>
      <c r="B2" s="4" t="s">
        <v>882</v>
      </c>
      <c r="C2" t="s">
        <v>861</v>
      </c>
    </row>
    <row r="3" spans="1:3" ht="144">
      <c r="A3" t="s">
        <v>862</v>
      </c>
      <c r="B3" s="4" t="s">
        <v>863</v>
      </c>
      <c r="C3" t="s">
        <v>864</v>
      </c>
    </row>
    <row r="4" spans="1:3" ht="216">
      <c r="A4" t="s">
        <v>865</v>
      </c>
      <c r="B4" s="4" t="s">
        <v>866</v>
      </c>
      <c r="C4" t="s">
        <v>864</v>
      </c>
    </row>
    <row r="5" spans="1:3" ht="115.2">
      <c r="A5" t="s">
        <v>867</v>
      </c>
      <c r="B5" s="4" t="s">
        <v>868</v>
      </c>
      <c r="C5" t="s">
        <v>864</v>
      </c>
    </row>
    <row r="6" spans="1:3" ht="115.2">
      <c r="A6" t="s">
        <v>869</v>
      </c>
      <c r="B6" s="4" t="s">
        <v>881</v>
      </c>
      <c r="C6" t="s">
        <v>864</v>
      </c>
    </row>
    <row r="7" spans="1:3" ht="158.4">
      <c r="A7" t="s">
        <v>870</v>
      </c>
      <c r="B7" s="4" t="s">
        <v>883</v>
      </c>
      <c r="C7" t="s">
        <v>884</v>
      </c>
    </row>
    <row r="8" spans="1:3" ht="129.6">
      <c r="A8" t="s">
        <v>871</v>
      </c>
      <c r="B8" s="4" t="s">
        <v>886</v>
      </c>
      <c r="C8" t="s">
        <v>884</v>
      </c>
    </row>
    <row r="9" spans="1:3" ht="129.6">
      <c r="A9" t="s">
        <v>872</v>
      </c>
      <c r="B9" s="4" t="s">
        <v>885</v>
      </c>
      <c r="C9" t="s">
        <v>884</v>
      </c>
    </row>
    <row r="10" spans="1:3" ht="100.8">
      <c r="A10" t="s">
        <v>873</v>
      </c>
      <c r="B10" s="4" t="s">
        <v>888</v>
      </c>
      <c r="C10" t="s">
        <v>887</v>
      </c>
    </row>
    <row r="11" spans="1:3" ht="100.8">
      <c r="A11" t="s">
        <v>874</v>
      </c>
      <c r="B11" s="4" t="s">
        <v>889</v>
      </c>
      <c r="C11" t="s">
        <v>887</v>
      </c>
    </row>
    <row r="12" spans="1:3" ht="86.4">
      <c r="A12" t="s">
        <v>875</v>
      </c>
      <c r="B12" s="4" t="s">
        <v>890</v>
      </c>
      <c r="C12" t="s">
        <v>887</v>
      </c>
    </row>
    <row r="13" spans="1:3" ht="100.8">
      <c r="A13" t="s">
        <v>876</v>
      </c>
      <c r="B13" s="4" t="s">
        <v>891</v>
      </c>
      <c r="C13" t="s">
        <v>887</v>
      </c>
    </row>
    <row r="14" spans="1:3" ht="115.2">
      <c r="A14" t="s">
        <v>877</v>
      </c>
      <c r="B14" s="4" t="s">
        <v>892</v>
      </c>
      <c r="C14" t="s">
        <v>887</v>
      </c>
    </row>
    <row r="15" spans="1:3" ht="129.6">
      <c r="A15" t="s">
        <v>878</v>
      </c>
      <c r="B15" s="4" t="s">
        <v>893</v>
      </c>
      <c r="C15" t="s">
        <v>887</v>
      </c>
    </row>
    <row r="16" spans="1:3" ht="115.2">
      <c r="A16" t="s">
        <v>879</v>
      </c>
      <c r="B16" s="4" t="s">
        <v>894</v>
      </c>
      <c r="C16" t="s">
        <v>887</v>
      </c>
    </row>
    <row r="17" spans="1:3" ht="115.2">
      <c r="A17" t="s">
        <v>880</v>
      </c>
      <c r="B17" s="4" t="s">
        <v>895</v>
      </c>
      <c r="C17" t="s">
        <v>887</v>
      </c>
    </row>
    <row r="18" spans="1:3" ht="115.2">
      <c r="A18" t="s">
        <v>897</v>
      </c>
      <c r="B18" s="4" t="s">
        <v>896</v>
      </c>
      <c r="C18" t="s">
        <v>887</v>
      </c>
    </row>
    <row r="19" spans="1:3" ht="115.2">
      <c r="A19" t="s">
        <v>898</v>
      </c>
      <c r="B19" s="4" t="s">
        <v>899</v>
      </c>
      <c r="C19" t="s">
        <v>887</v>
      </c>
    </row>
    <row r="20" spans="1:3" ht="115.2">
      <c r="A20" t="s">
        <v>914</v>
      </c>
      <c r="B20" s="4" t="s">
        <v>915</v>
      </c>
      <c r="C20" t="s">
        <v>887</v>
      </c>
    </row>
    <row r="21" spans="1:3" ht="115.2">
      <c r="A21" t="s">
        <v>901</v>
      </c>
      <c r="B21" s="4" t="s">
        <v>902</v>
      </c>
      <c r="C21" t="s">
        <v>900</v>
      </c>
    </row>
    <row r="22" spans="1:3" ht="172.8">
      <c r="A22" t="s">
        <v>904</v>
      </c>
      <c r="B22" s="4" t="s">
        <v>903</v>
      </c>
      <c r="C22" t="s">
        <v>900</v>
      </c>
    </row>
    <row r="23" spans="1:3" ht="86.4">
      <c r="A23" t="s">
        <v>905</v>
      </c>
      <c r="B23" s="4" t="s">
        <v>907</v>
      </c>
      <c r="C23" t="s">
        <v>900</v>
      </c>
    </row>
    <row r="24" spans="1:3" ht="72">
      <c r="A24" t="s">
        <v>906</v>
      </c>
      <c r="B24" s="4" t="s">
        <v>908</v>
      </c>
      <c r="C24" t="s">
        <v>900</v>
      </c>
    </row>
  </sheetData>
  <phoneticPr fontId="1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9BDB8-44C6-48AE-8E97-17707175E422}">
  <dimension ref="A1:C181"/>
  <sheetViews>
    <sheetView workbookViewId="0">
      <selection activeCell="H9" sqref="H9"/>
    </sheetView>
  </sheetViews>
  <sheetFormatPr defaultRowHeight="14.4"/>
  <cols>
    <col min="1" max="1" width="9.44140625" customWidth="1"/>
    <col min="2" max="2" width="23.44140625" bestFit="1" customWidth="1"/>
    <col min="3" max="3" width="13.33203125" bestFit="1" customWidth="1"/>
  </cols>
  <sheetData>
    <row r="1" spans="1:3">
      <c r="A1" t="s">
        <v>710</v>
      </c>
      <c r="B1" t="s">
        <v>753</v>
      </c>
      <c r="C1" t="s">
        <v>765</v>
      </c>
    </row>
    <row r="2" spans="1:3">
      <c r="A2" s="8" t="s">
        <v>712</v>
      </c>
      <c r="B2" t="s">
        <v>801</v>
      </c>
      <c r="C2" t="s">
        <v>519</v>
      </c>
    </row>
    <row r="3" spans="1:3">
      <c r="A3" s="14" t="s">
        <v>712</v>
      </c>
      <c r="B3" t="s">
        <v>163</v>
      </c>
      <c r="C3" t="s">
        <v>771</v>
      </c>
    </row>
    <row r="4" spans="1:3">
      <c r="A4" s="14" t="s">
        <v>712</v>
      </c>
      <c r="B4" t="s">
        <v>224</v>
      </c>
      <c r="C4" t="s">
        <v>774</v>
      </c>
    </row>
    <row r="5" spans="1:3">
      <c r="A5" s="14" t="s">
        <v>712</v>
      </c>
      <c r="B5" t="s">
        <v>225</v>
      </c>
      <c r="C5" t="s">
        <v>770</v>
      </c>
    </row>
    <row r="6" spans="1:3">
      <c r="A6" s="8" t="s">
        <v>713</v>
      </c>
      <c r="B6" t="s">
        <v>787</v>
      </c>
      <c r="C6" t="s">
        <v>772</v>
      </c>
    </row>
    <row r="7" spans="1:3">
      <c r="A7" s="8" t="s">
        <v>713</v>
      </c>
      <c r="B7" t="s">
        <v>199</v>
      </c>
      <c r="C7" t="s">
        <v>769</v>
      </c>
    </row>
    <row r="8" spans="1:3">
      <c r="A8" s="8" t="s">
        <v>713</v>
      </c>
      <c r="B8" t="s">
        <v>188</v>
      </c>
      <c r="C8" t="s">
        <v>767</v>
      </c>
    </row>
    <row r="9" spans="1:3">
      <c r="A9" s="8" t="s">
        <v>713</v>
      </c>
      <c r="B9" t="s">
        <v>169</v>
      </c>
      <c r="C9" t="s">
        <v>768</v>
      </c>
    </row>
    <row r="10" spans="1:3">
      <c r="A10" s="8" t="s">
        <v>714</v>
      </c>
      <c r="B10" t="s">
        <v>795</v>
      </c>
      <c r="C10" t="s">
        <v>768</v>
      </c>
    </row>
    <row r="11" spans="1:3">
      <c r="A11" s="14" t="s">
        <v>714</v>
      </c>
      <c r="B11" t="s">
        <v>169</v>
      </c>
      <c r="C11" t="s">
        <v>768</v>
      </c>
    </row>
    <row r="12" spans="1:3">
      <c r="A12" s="14" t="s">
        <v>714</v>
      </c>
      <c r="B12" t="s">
        <v>183</v>
      </c>
      <c r="C12" t="s">
        <v>772</v>
      </c>
    </row>
    <row r="13" spans="1:3">
      <c r="A13" s="14" t="s">
        <v>714</v>
      </c>
      <c r="B13" t="s">
        <v>184</v>
      </c>
      <c r="C13" t="s">
        <v>775</v>
      </c>
    </row>
    <row r="14" spans="1:3">
      <c r="A14" s="8" t="s">
        <v>715</v>
      </c>
      <c r="B14" t="s">
        <v>792</v>
      </c>
      <c r="C14" t="s">
        <v>770</v>
      </c>
    </row>
    <row r="15" spans="1:3">
      <c r="A15" s="8" t="s">
        <v>715</v>
      </c>
      <c r="B15" t="s">
        <v>185</v>
      </c>
      <c r="C15" t="s">
        <v>772</v>
      </c>
    </row>
    <row r="16" spans="1:3">
      <c r="A16" s="8" t="s">
        <v>715</v>
      </c>
      <c r="B16" t="s">
        <v>186</v>
      </c>
      <c r="C16" t="s">
        <v>772</v>
      </c>
    </row>
    <row r="17" spans="1:3">
      <c r="A17" s="8" t="s">
        <v>715</v>
      </c>
      <c r="B17" t="s">
        <v>187</v>
      </c>
      <c r="C17" t="s">
        <v>772</v>
      </c>
    </row>
    <row r="18" spans="1:3">
      <c r="A18" s="8" t="s">
        <v>716</v>
      </c>
      <c r="B18" t="s">
        <v>776</v>
      </c>
      <c r="C18" t="s">
        <v>767</v>
      </c>
    </row>
    <row r="19" spans="1:3">
      <c r="A19" s="14" t="s">
        <v>716</v>
      </c>
      <c r="B19" t="s">
        <v>188</v>
      </c>
      <c r="C19" t="s">
        <v>767</v>
      </c>
    </row>
    <row r="20" spans="1:3">
      <c r="A20" s="14" t="s">
        <v>716</v>
      </c>
      <c r="B20" t="s">
        <v>169</v>
      </c>
      <c r="C20" t="s">
        <v>768</v>
      </c>
    </row>
    <row r="21" spans="1:3">
      <c r="A21" s="14" t="s">
        <v>716</v>
      </c>
      <c r="B21" t="s">
        <v>181</v>
      </c>
      <c r="C21" t="s">
        <v>768</v>
      </c>
    </row>
    <row r="22" spans="1:3">
      <c r="A22" s="8" t="s">
        <v>717</v>
      </c>
      <c r="B22" t="s">
        <v>794</v>
      </c>
      <c r="C22" t="s">
        <v>774</v>
      </c>
    </row>
    <row r="23" spans="1:3">
      <c r="A23" s="8" t="s">
        <v>717</v>
      </c>
      <c r="B23" t="s">
        <v>189</v>
      </c>
      <c r="C23" t="s">
        <v>774</v>
      </c>
    </row>
    <row r="24" spans="1:3">
      <c r="A24" s="8" t="s">
        <v>717</v>
      </c>
      <c r="B24" t="s">
        <v>185</v>
      </c>
      <c r="C24" t="s">
        <v>772</v>
      </c>
    </row>
    <row r="25" spans="1:3">
      <c r="A25" s="8" t="s">
        <v>717</v>
      </c>
      <c r="B25" t="s">
        <v>190</v>
      </c>
      <c r="C25" t="s">
        <v>775</v>
      </c>
    </row>
    <row r="26" spans="1:3">
      <c r="A26" s="8" t="s">
        <v>718</v>
      </c>
      <c r="B26" t="s">
        <v>789</v>
      </c>
      <c r="C26" t="s">
        <v>771</v>
      </c>
    </row>
    <row r="27" spans="1:3">
      <c r="A27" s="14" t="s">
        <v>718</v>
      </c>
      <c r="B27" t="s">
        <v>191</v>
      </c>
      <c r="C27" t="s">
        <v>772</v>
      </c>
    </row>
    <row r="28" spans="1:3">
      <c r="A28" s="14" t="s">
        <v>718</v>
      </c>
      <c r="B28" t="s">
        <v>192</v>
      </c>
      <c r="C28" t="s">
        <v>773</v>
      </c>
    </row>
    <row r="29" spans="1:3">
      <c r="A29" s="14" t="s">
        <v>718</v>
      </c>
      <c r="B29" t="s">
        <v>193</v>
      </c>
      <c r="C29" t="s">
        <v>771</v>
      </c>
    </row>
    <row r="30" spans="1:3">
      <c r="A30" s="8" t="s">
        <v>719</v>
      </c>
      <c r="B30" t="s">
        <v>792</v>
      </c>
      <c r="C30" t="s">
        <v>770</v>
      </c>
    </row>
    <row r="31" spans="1:3">
      <c r="A31" s="8" t="s">
        <v>719</v>
      </c>
      <c r="B31" t="s">
        <v>173</v>
      </c>
      <c r="C31" t="s">
        <v>768</v>
      </c>
    </row>
    <row r="32" spans="1:3">
      <c r="A32" s="8" t="s">
        <v>719</v>
      </c>
      <c r="B32" t="s">
        <v>169</v>
      </c>
      <c r="C32" t="s">
        <v>768</v>
      </c>
    </row>
    <row r="33" spans="1:3">
      <c r="A33" s="8" t="s">
        <v>719</v>
      </c>
      <c r="B33" t="s">
        <v>174</v>
      </c>
      <c r="C33" t="s">
        <v>774</v>
      </c>
    </row>
    <row r="34" spans="1:3">
      <c r="A34" s="8" t="s">
        <v>720</v>
      </c>
      <c r="B34" t="s">
        <v>797</v>
      </c>
      <c r="C34" t="s">
        <v>775</v>
      </c>
    </row>
    <row r="35" spans="1:3">
      <c r="A35" s="8" t="s">
        <v>720</v>
      </c>
      <c r="B35" t="s">
        <v>166</v>
      </c>
      <c r="C35" t="s">
        <v>767</v>
      </c>
    </row>
    <row r="36" spans="1:3">
      <c r="A36" s="8" t="s">
        <v>720</v>
      </c>
      <c r="B36" t="s">
        <v>185</v>
      </c>
      <c r="C36" t="s">
        <v>772</v>
      </c>
    </row>
    <row r="37" spans="1:3">
      <c r="A37" s="8" t="s">
        <v>720</v>
      </c>
      <c r="B37" t="s">
        <v>194</v>
      </c>
      <c r="C37" t="s">
        <v>775</v>
      </c>
    </row>
    <row r="38" spans="1:3">
      <c r="A38" s="8" t="s">
        <v>721</v>
      </c>
      <c r="B38" t="s">
        <v>802</v>
      </c>
      <c r="C38" t="s">
        <v>769</v>
      </c>
    </row>
    <row r="39" spans="1:3">
      <c r="A39" s="14" t="s">
        <v>721</v>
      </c>
      <c r="B39" t="s">
        <v>166</v>
      </c>
      <c r="C39" t="s">
        <v>767</v>
      </c>
    </row>
    <row r="40" spans="1:3">
      <c r="A40" s="14" t="s">
        <v>721</v>
      </c>
      <c r="B40" t="s">
        <v>188</v>
      </c>
      <c r="C40" t="s">
        <v>767</v>
      </c>
    </row>
    <row r="41" spans="1:3">
      <c r="A41" s="14" t="s">
        <v>721</v>
      </c>
      <c r="B41" t="s">
        <v>195</v>
      </c>
      <c r="C41" t="s">
        <v>767</v>
      </c>
    </row>
    <row r="42" spans="1:3">
      <c r="A42" s="8" t="s">
        <v>722</v>
      </c>
      <c r="B42" t="s">
        <v>783</v>
      </c>
      <c r="C42" t="s">
        <v>770</v>
      </c>
    </row>
    <row r="43" spans="1:3">
      <c r="A43" s="14" t="s">
        <v>722</v>
      </c>
      <c r="B43" t="s">
        <v>163</v>
      </c>
      <c r="C43" t="s">
        <v>771</v>
      </c>
    </row>
    <row r="44" spans="1:3">
      <c r="A44" s="14" t="s">
        <v>722</v>
      </c>
      <c r="B44" t="s">
        <v>169</v>
      </c>
      <c r="C44" t="s">
        <v>768</v>
      </c>
    </row>
    <row r="45" spans="1:3">
      <c r="A45" s="14" t="s">
        <v>722</v>
      </c>
      <c r="B45" t="s">
        <v>232</v>
      </c>
      <c r="C45" t="s">
        <v>769</v>
      </c>
    </row>
    <row r="46" spans="1:3">
      <c r="A46" s="8" t="s">
        <v>723</v>
      </c>
      <c r="B46" t="s">
        <v>800</v>
      </c>
      <c r="C46" t="s">
        <v>775</v>
      </c>
    </row>
    <row r="47" spans="1:3">
      <c r="A47" s="8" t="s">
        <v>723</v>
      </c>
      <c r="B47" t="s">
        <v>197</v>
      </c>
      <c r="C47" t="s">
        <v>775</v>
      </c>
    </row>
    <row r="48" spans="1:3">
      <c r="A48" s="8" t="s">
        <v>723</v>
      </c>
      <c r="B48" t="s">
        <v>185</v>
      </c>
      <c r="C48" t="s">
        <v>772</v>
      </c>
    </row>
    <row r="49" spans="1:3">
      <c r="A49" s="8" t="s">
        <v>723</v>
      </c>
      <c r="B49" t="s">
        <v>198</v>
      </c>
      <c r="C49" t="s">
        <v>772</v>
      </c>
    </row>
    <row r="50" spans="1:3">
      <c r="A50" s="8" t="s">
        <v>724</v>
      </c>
      <c r="B50" t="s">
        <v>795</v>
      </c>
      <c r="C50" t="s">
        <v>768</v>
      </c>
    </row>
    <row r="51" spans="1:3">
      <c r="A51" s="14" t="s">
        <v>724</v>
      </c>
      <c r="B51" t="s">
        <v>806</v>
      </c>
      <c r="C51" t="s">
        <v>768</v>
      </c>
    </row>
    <row r="52" spans="1:3">
      <c r="A52" s="14" t="s">
        <v>724</v>
      </c>
      <c r="B52" t="s">
        <v>200</v>
      </c>
      <c r="C52" t="s">
        <v>769</v>
      </c>
    </row>
    <row r="53" spans="1:3">
      <c r="A53" s="14" t="s">
        <v>724</v>
      </c>
      <c r="B53" t="s">
        <v>181</v>
      </c>
      <c r="C53" t="s">
        <v>768</v>
      </c>
    </row>
    <row r="54" spans="1:3">
      <c r="A54" s="8" t="s">
        <v>725</v>
      </c>
      <c r="B54" t="s">
        <v>786</v>
      </c>
      <c r="C54" t="s">
        <v>768</v>
      </c>
    </row>
    <row r="55" spans="1:3">
      <c r="A55" s="8" t="s">
        <v>725</v>
      </c>
      <c r="B55" t="s">
        <v>201</v>
      </c>
      <c r="C55" t="s">
        <v>768</v>
      </c>
    </row>
    <row r="56" spans="1:3">
      <c r="A56" s="8" t="s">
        <v>725</v>
      </c>
      <c r="B56" t="s">
        <v>202</v>
      </c>
      <c r="C56" t="s">
        <v>769</v>
      </c>
    </row>
    <row r="57" spans="1:3">
      <c r="A57" s="8" t="s">
        <v>725</v>
      </c>
      <c r="B57" t="s">
        <v>169</v>
      </c>
      <c r="C57" t="s">
        <v>768</v>
      </c>
    </row>
    <row r="58" spans="1:3">
      <c r="A58" s="8" t="s">
        <v>726</v>
      </c>
      <c r="B58" t="s">
        <v>802</v>
      </c>
      <c r="C58" t="s">
        <v>769</v>
      </c>
    </row>
    <row r="59" spans="1:3">
      <c r="A59" s="14" t="s">
        <v>726</v>
      </c>
      <c r="B59" t="s">
        <v>207</v>
      </c>
      <c r="C59" t="s">
        <v>775</v>
      </c>
    </row>
    <row r="60" spans="1:3">
      <c r="A60" s="14" t="s">
        <v>726</v>
      </c>
      <c r="B60" t="s">
        <v>226</v>
      </c>
      <c r="C60" t="s">
        <v>772</v>
      </c>
    </row>
    <row r="61" spans="1:3">
      <c r="A61" s="14" t="s">
        <v>726</v>
      </c>
      <c r="B61" t="s">
        <v>227</v>
      </c>
      <c r="C61" t="s">
        <v>775</v>
      </c>
    </row>
    <row r="62" spans="1:3">
      <c r="A62" s="8" t="s">
        <v>727</v>
      </c>
      <c r="B62" t="s">
        <v>776</v>
      </c>
      <c r="C62" t="s">
        <v>767</v>
      </c>
    </row>
    <row r="63" spans="1:3">
      <c r="A63" s="14" t="s">
        <v>727</v>
      </c>
      <c r="B63" t="s">
        <v>203</v>
      </c>
      <c r="C63" t="s">
        <v>770</v>
      </c>
    </row>
    <row r="64" spans="1:3">
      <c r="A64" s="14" t="s">
        <v>727</v>
      </c>
      <c r="B64" t="s">
        <v>170</v>
      </c>
      <c r="C64" t="s">
        <v>768</v>
      </c>
    </row>
    <row r="65" spans="1:3">
      <c r="A65" s="14" t="s">
        <v>727</v>
      </c>
      <c r="B65" t="s">
        <v>195</v>
      </c>
      <c r="C65" t="s">
        <v>767</v>
      </c>
    </row>
    <row r="66" spans="1:3">
      <c r="A66" s="8" t="s">
        <v>587</v>
      </c>
      <c r="B66" t="s">
        <v>782</v>
      </c>
      <c r="C66" t="s">
        <v>768</v>
      </c>
    </row>
    <row r="67" spans="1:3">
      <c r="A67" s="8" t="s">
        <v>587</v>
      </c>
      <c r="B67" t="s">
        <v>170</v>
      </c>
      <c r="C67" t="s">
        <v>768</v>
      </c>
    </row>
    <row r="68" spans="1:3">
      <c r="A68" s="8" t="s">
        <v>587</v>
      </c>
      <c r="B68" t="s">
        <v>200</v>
      </c>
      <c r="C68" t="s">
        <v>769</v>
      </c>
    </row>
    <row r="69" spans="1:3">
      <c r="A69" s="8" t="s">
        <v>587</v>
      </c>
      <c r="B69" t="s">
        <v>169</v>
      </c>
      <c r="C69" t="s">
        <v>768</v>
      </c>
    </row>
    <row r="70" spans="1:3">
      <c r="A70" s="8" t="s">
        <v>728</v>
      </c>
      <c r="B70" t="s">
        <v>784</v>
      </c>
      <c r="C70" t="s">
        <v>768</v>
      </c>
    </row>
    <row r="71" spans="1:3">
      <c r="A71" s="14" t="s">
        <v>728</v>
      </c>
      <c r="B71" t="s">
        <v>171</v>
      </c>
      <c r="C71" t="s">
        <v>772</v>
      </c>
    </row>
    <row r="72" spans="1:3">
      <c r="A72" s="14" t="s">
        <v>728</v>
      </c>
      <c r="B72" t="s">
        <v>166</v>
      </c>
      <c r="C72" t="s">
        <v>767</v>
      </c>
    </row>
    <row r="73" spans="1:3">
      <c r="A73" s="14" t="s">
        <v>728</v>
      </c>
      <c r="B73" t="s">
        <v>175</v>
      </c>
      <c r="C73" t="s">
        <v>769</v>
      </c>
    </row>
    <row r="74" spans="1:3">
      <c r="A74" s="8" t="s">
        <v>729</v>
      </c>
      <c r="B74" t="s">
        <v>802</v>
      </c>
      <c r="C74" t="s">
        <v>769</v>
      </c>
    </row>
    <row r="75" spans="1:3">
      <c r="A75" s="14" t="s">
        <v>729</v>
      </c>
      <c r="B75" t="s">
        <v>163</v>
      </c>
      <c r="C75" t="s">
        <v>771</v>
      </c>
    </row>
    <row r="76" spans="1:3">
      <c r="A76" s="14" t="s">
        <v>729</v>
      </c>
      <c r="B76" t="s">
        <v>204</v>
      </c>
      <c r="C76" t="s">
        <v>774</v>
      </c>
    </row>
    <row r="77" spans="1:3">
      <c r="A77" s="14" t="s">
        <v>729</v>
      </c>
      <c r="B77" t="s">
        <v>205</v>
      </c>
      <c r="C77" t="s">
        <v>767</v>
      </c>
    </row>
    <row r="78" spans="1:3">
      <c r="A78" s="8" t="s">
        <v>730</v>
      </c>
      <c r="B78" t="s">
        <v>802</v>
      </c>
      <c r="C78" t="s">
        <v>769</v>
      </c>
    </row>
    <row r="79" spans="1:3">
      <c r="A79" s="8" t="s">
        <v>730</v>
      </c>
      <c r="B79" t="s">
        <v>228</v>
      </c>
      <c r="C79" t="s">
        <v>519</v>
      </c>
    </row>
    <row r="80" spans="1:3">
      <c r="A80" s="8" t="s">
        <v>730</v>
      </c>
      <c r="B80" t="s">
        <v>172</v>
      </c>
      <c r="C80" t="s">
        <v>769</v>
      </c>
    </row>
    <row r="81" spans="1:3">
      <c r="A81" s="8" t="s">
        <v>730</v>
      </c>
      <c r="B81" t="s">
        <v>229</v>
      </c>
      <c r="C81" t="s">
        <v>768</v>
      </c>
    </row>
    <row r="82" spans="1:3">
      <c r="A82" s="8" t="s">
        <v>731</v>
      </c>
      <c r="B82" t="s">
        <v>779</v>
      </c>
      <c r="C82" t="s">
        <v>519</v>
      </c>
    </row>
    <row r="83" spans="1:3">
      <c r="A83" s="8" t="s">
        <v>731</v>
      </c>
      <c r="B83" t="s">
        <v>166</v>
      </c>
      <c r="C83" t="s">
        <v>767</v>
      </c>
    </row>
    <row r="84" spans="1:3">
      <c r="A84" s="8" t="s">
        <v>731</v>
      </c>
      <c r="B84" t="s">
        <v>206</v>
      </c>
      <c r="C84" t="s">
        <v>775</v>
      </c>
    </row>
    <row r="85" spans="1:3">
      <c r="A85" s="8" t="s">
        <v>731</v>
      </c>
      <c r="B85" t="s">
        <v>207</v>
      </c>
      <c r="C85" t="s">
        <v>775</v>
      </c>
    </row>
    <row r="86" spans="1:3">
      <c r="A86" s="8" t="s">
        <v>732</v>
      </c>
      <c r="B86" t="s">
        <v>799</v>
      </c>
      <c r="C86" t="s">
        <v>775</v>
      </c>
    </row>
    <row r="87" spans="1:3">
      <c r="A87" s="14" t="s">
        <v>732</v>
      </c>
      <c r="B87" t="s">
        <v>199</v>
      </c>
      <c r="C87" t="s">
        <v>769</v>
      </c>
    </row>
    <row r="88" spans="1:3">
      <c r="A88" s="14" t="s">
        <v>732</v>
      </c>
      <c r="B88" t="s">
        <v>185</v>
      </c>
      <c r="C88" t="s">
        <v>772</v>
      </c>
    </row>
    <row r="89" spans="1:3">
      <c r="A89" s="14" t="s">
        <v>732</v>
      </c>
      <c r="B89" t="s">
        <v>208</v>
      </c>
      <c r="C89" t="s">
        <v>773</v>
      </c>
    </row>
    <row r="90" spans="1:3">
      <c r="A90" s="8" t="s">
        <v>625</v>
      </c>
      <c r="B90" t="s">
        <v>800</v>
      </c>
      <c r="C90" t="s">
        <v>775</v>
      </c>
    </row>
    <row r="91" spans="1:3">
      <c r="A91" s="8" t="s">
        <v>625</v>
      </c>
      <c r="B91" t="s">
        <v>209</v>
      </c>
      <c r="C91" t="s">
        <v>775</v>
      </c>
    </row>
    <row r="92" spans="1:3">
      <c r="A92" s="8" t="s">
        <v>625</v>
      </c>
      <c r="B92" t="s">
        <v>210</v>
      </c>
      <c r="C92" t="s">
        <v>775</v>
      </c>
    </row>
    <row r="93" spans="1:3">
      <c r="A93" s="8" t="s">
        <v>625</v>
      </c>
      <c r="B93" t="s">
        <v>799</v>
      </c>
      <c r="C93" t="s">
        <v>775</v>
      </c>
    </row>
    <row r="94" spans="1:3">
      <c r="A94" s="8" t="s">
        <v>636</v>
      </c>
      <c r="B94" t="s">
        <v>797</v>
      </c>
      <c r="C94" t="s">
        <v>775</v>
      </c>
    </row>
    <row r="95" spans="1:3">
      <c r="A95" s="14" t="s">
        <v>636</v>
      </c>
      <c r="B95" t="s">
        <v>199</v>
      </c>
      <c r="C95" t="s">
        <v>769</v>
      </c>
    </row>
    <row r="96" spans="1:3">
      <c r="A96" s="14" t="s">
        <v>636</v>
      </c>
      <c r="B96" t="s">
        <v>166</v>
      </c>
      <c r="C96" t="s">
        <v>767</v>
      </c>
    </row>
    <row r="97" spans="1:3">
      <c r="A97" s="14" t="s">
        <v>636</v>
      </c>
      <c r="B97" t="s">
        <v>185</v>
      </c>
      <c r="C97" t="s">
        <v>772</v>
      </c>
    </row>
    <row r="98" spans="1:3">
      <c r="A98" s="8" t="s">
        <v>733</v>
      </c>
      <c r="B98" t="s">
        <v>798</v>
      </c>
      <c r="C98" t="s">
        <v>775</v>
      </c>
    </row>
    <row r="99" spans="1:3">
      <c r="A99" s="14" t="s">
        <v>733</v>
      </c>
      <c r="B99" t="s">
        <v>163</v>
      </c>
      <c r="C99" t="s">
        <v>771</v>
      </c>
    </row>
    <row r="100" spans="1:3">
      <c r="A100" s="14" t="s">
        <v>733</v>
      </c>
      <c r="B100" t="s">
        <v>164</v>
      </c>
      <c r="C100" t="s">
        <v>519</v>
      </c>
    </row>
    <row r="101" spans="1:3">
      <c r="A101" s="14" t="s">
        <v>733</v>
      </c>
      <c r="B101" t="s">
        <v>165</v>
      </c>
      <c r="C101" t="s">
        <v>771</v>
      </c>
    </row>
    <row r="102" spans="1:3">
      <c r="A102" s="8" t="s">
        <v>734</v>
      </c>
      <c r="B102" t="s">
        <v>780</v>
      </c>
      <c r="C102" t="s">
        <v>519</v>
      </c>
    </row>
    <row r="103" spans="1:3">
      <c r="A103" s="8" t="s">
        <v>734</v>
      </c>
      <c r="B103" t="s">
        <v>169</v>
      </c>
      <c r="C103" t="s">
        <v>768</v>
      </c>
    </row>
    <row r="104" spans="1:3">
      <c r="A104" s="8" t="s">
        <v>734</v>
      </c>
      <c r="B104" t="s">
        <v>176</v>
      </c>
      <c r="C104" t="s">
        <v>774</v>
      </c>
    </row>
    <row r="105" spans="1:3">
      <c r="A105" s="8" t="s">
        <v>734</v>
      </c>
      <c r="B105" t="s">
        <v>177</v>
      </c>
      <c r="C105" t="s">
        <v>774</v>
      </c>
    </row>
    <row r="106" spans="1:3">
      <c r="A106" s="8" t="s">
        <v>735</v>
      </c>
      <c r="B106" t="s">
        <v>785</v>
      </c>
      <c r="C106" t="s">
        <v>773</v>
      </c>
    </row>
    <row r="107" spans="1:3">
      <c r="A107" s="14" t="s">
        <v>735</v>
      </c>
      <c r="B107" t="s">
        <v>211</v>
      </c>
      <c r="C107" t="s">
        <v>773</v>
      </c>
    </row>
    <row r="108" spans="1:3">
      <c r="A108" s="14" t="s">
        <v>735</v>
      </c>
      <c r="B108" t="s">
        <v>185</v>
      </c>
      <c r="C108" t="s">
        <v>772</v>
      </c>
    </row>
    <row r="109" spans="1:3">
      <c r="A109" s="14" t="s">
        <v>735</v>
      </c>
      <c r="B109" t="s">
        <v>212</v>
      </c>
      <c r="C109" t="s">
        <v>773</v>
      </c>
    </row>
    <row r="110" spans="1:3">
      <c r="A110" s="8" t="s">
        <v>736</v>
      </c>
      <c r="B110" t="s">
        <v>780</v>
      </c>
      <c r="C110" t="s">
        <v>519</v>
      </c>
    </row>
    <row r="111" spans="1:3">
      <c r="A111" s="14" t="s">
        <v>736</v>
      </c>
      <c r="B111" t="s">
        <v>177</v>
      </c>
      <c r="C111" t="s">
        <v>774</v>
      </c>
    </row>
    <row r="112" spans="1:3">
      <c r="A112" s="14" t="s">
        <v>736</v>
      </c>
      <c r="B112" t="s">
        <v>178</v>
      </c>
      <c r="C112" t="s">
        <v>772</v>
      </c>
    </row>
    <row r="113" spans="1:3">
      <c r="A113" s="14" t="s">
        <v>736</v>
      </c>
      <c r="B113" t="s">
        <v>179</v>
      </c>
      <c r="C113" t="s">
        <v>769</v>
      </c>
    </row>
    <row r="114" spans="1:3">
      <c r="A114" s="8" t="s">
        <v>737</v>
      </c>
      <c r="B114" t="s">
        <v>785</v>
      </c>
      <c r="C114" t="s">
        <v>773</v>
      </c>
    </row>
    <row r="115" spans="1:3">
      <c r="A115" s="8" t="s">
        <v>737</v>
      </c>
      <c r="B115" t="s">
        <v>192</v>
      </c>
      <c r="C115" t="s">
        <v>773</v>
      </c>
    </row>
    <row r="116" spans="1:3">
      <c r="A116" s="8" t="s">
        <v>737</v>
      </c>
      <c r="B116" t="s">
        <v>185</v>
      </c>
      <c r="C116" t="s">
        <v>772</v>
      </c>
    </row>
    <row r="117" spans="1:3">
      <c r="A117" s="8" t="s">
        <v>84</v>
      </c>
      <c r="B117" t="s">
        <v>793</v>
      </c>
      <c r="C117" t="s">
        <v>769</v>
      </c>
    </row>
    <row r="118" spans="1:3">
      <c r="A118" s="8" t="s">
        <v>84</v>
      </c>
      <c r="B118" t="s">
        <v>228</v>
      </c>
      <c r="C118" t="s">
        <v>519</v>
      </c>
    </row>
    <row r="119" spans="1:3">
      <c r="A119" s="8" t="s">
        <v>84</v>
      </c>
      <c r="B119" t="s">
        <v>233</v>
      </c>
      <c r="C119" t="s">
        <v>769</v>
      </c>
    </row>
    <row r="120" spans="1:3">
      <c r="A120" s="8" t="s">
        <v>84</v>
      </c>
      <c r="B120" t="s">
        <v>169</v>
      </c>
      <c r="C120" t="s">
        <v>768</v>
      </c>
    </row>
    <row r="121" spans="1:3">
      <c r="A121" s="8" t="s">
        <v>738</v>
      </c>
      <c r="B121" t="s">
        <v>778</v>
      </c>
      <c r="C121" t="s">
        <v>767</v>
      </c>
    </row>
    <row r="122" spans="1:3">
      <c r="A122" s="14" t="s">
        <v>738</v>
      </c>
      <c r="B122" t="s">
        <v>195</v>
      </c>
      <c r="C122" t="s">
        <v>767</v>
      </c>
    </row>
    <row r="123" spans="1:3">
      <c r="A123" s="14" t="s">
        <v>738</v>
      </c>
      <c r="B123" t="s">
        <v>196</v>
      </c>
      <c r="C123" t="s">
        <v>772</v>
      </c>
    </row>
    <row r="124" spans="1:3">
      <c r="A124" s="14" t="s">
        <v>738</v>
      </c>
      <c r="B124" t="s">
        <v>188</v>
      </c>
      <c r="C124" t="s">
        <v>767</v>
      </c>
    </row>
    <row r="125" spans="1:3">
      <c r="A125" s="8" t="s">
        <v>739</v>
      </c>
      <c r="B125" t="s">
        <v>780</v>
      </c>
      <c r="C125" t="s">
        <v>519</v>
      </c>
    </row>
    <row r="126" spans="1:3">
      <c r="A126" s="8" t="s">
        <v>739</v>
      </c>
      <c r="B126" t="s">
        <v>167</v>
      </c>
      <c r="C126" t="s">
        <v>772</v>
      </c>
    </row>
    <row r="127" spans="1:3">
      <c r="A127" s="8" t="s">
        <v>739</v>
      </c>
      <c r="B127" t="s">
        <v>168</v>
      </c>
      <c r="C127" t="s">
        <v>772</v>
      </c>
    </row>
    <row r="128" spans="1:3">
      <c r="A128" s="8" t="s">
        <v>739</v>
      </c>
      <c r="B128" t="s">
        <v>169</v>
      </c>
      <c r="C128" t="s">
        <v>768</v>
      </c>
    </row>
    <row r="129" spans="1:3">
      <c r="A129" s="8" t="s">
        <v>740</v>
      </c>
      <c r="B129" t="s">
        <v>784</v>
      </c>
      <c r="C129" t="s">
        <v>768</v>
      </c>
    </row>
    <row r="130" spans="1:3">
      <c r="A130" s="8" t="s">
        <v>740</v>
      </c>
      <c r="B130" t="s">
        <v>180</v>
      </c>
      <c r="C130" t="s">
        <v>772</v>
      </c>
    </row>
    <row r="131" spans="1:3">
      <c r="A131" s="8" t="s">
        <v>740</v>
      </c>
      <c r="B131" t="s">
        <v>181</v>
      </c>
      <c r="C131" t="s">
        <v>768</v>
      </c>
    </row>
    <row r="132" spans="1:3">
      <c r="A132" s="8" t="s">
        <v>740</v>
      </c>
      <c r="B132" t="s">
        <v>182</v>
      </c>
      <c r="C132" t="s">
        <v>774</v>
      </c>
    </row>
    <row r="133" spans="1:3">
      <c r="A133" s="8" t="s">
        <v>741</v>
      </c>
      <c r="B133" t="s">
        <v>784</v>
      </c>
      <c r="C133" t="s">
        <v>768</v>
      </c>
    </row>
    <row r="134" spans="1:3">
      <c r="A134" s="14" t="s">
        <v>741</v>
      </c>
      <c r="B134" t="s">
        <v>170</v>
      </c>
      <c r="C134" t="s">
        <v>768</v>
      </c>
    </row>
    <row r="135" spans="1:3">
      <c r="A135" s="14" t="s">
        <v>741</v>
      </c>
      <c r="B135" t="s">
        <v>171</v>
      </c>
      <c r="C135" t="s">
        <v>772</v>
      </c>
    </row>
    <row r="136" spans="1:3">
      <c r="A136" s="14" t="s">
        <v>741</v>
      </c>
      <c r="B136" t="s">
        <v>172</v>
      </c>
      <c r="C136" t="s">
        <v>769</v>
      </c>
    </row>
    <row r="137" spans="1:3">
      <c r="A137" s="8" t="s">
        <v>742</v>
      </c>
      <c r="B137" t="s">
        <v>777</v>
      </c>
      <c r="C137" t="s">
        <v>767</v>
      </c>
    </row>
    <row r="138" spans="1:3">
      <c r="A138" s="8" t="s">
        <v>742</v>
      </c>
      <c r="B138" t="s">
        <v>213</v>
      </c>
      <c r="C138" t="s">
        <v>769</v>
      </c>
    </row>
    <row r="139" spans="1:3">
      <c r="A139" s="8" t="s">
        <v>742</v>
      </c>
      <c r="B139" t="s">
        <v>214</v>
      </c>
      <c r="C139" t="s">
        <v>774</v>
      </c>
    </row>
    <row r="140" spans="1:3">
      <c r="A140" s="8" t="s">
        <v>743</v>
      </c>
      <c r="B140" t="s">
        <v>795</v>
      </c>
      <c r="C140" t="s">
        <v>768</v>
      </c>
    </row>
    <row r="141" spans="1:3">
      <c r="A141" s="14" t="s">
        <v>743</v>
      </c>
      <c r="B141" t="s">
        <v>200</v>
      </c>
      <c r="C141" t="s">
        <v>769</v>
      </c>
    </row>
    <row r="142" spans="1:3">
      <c r="A142" s="14" t="s">
        <v>743</v>
      </c>
      <c r="B142" t="s">
        <v>215</v>
      </c>
      <c r="C142" t="s">
        <v>771</v>
      </c>
    </row>
    <row r="143" spans="1:3">
      <c r="A143" s="14" t="s">
        <v>743</v>
      </c>
      <c r="B143" t="s">
        <v>163</v>
      </c>
      <c r="C143" t="s">
        <v>771</v>
      </c>
    </row>
    <row r="144" spans="1:3">
      <c r="A144" s="8" t="s">
        <v>562</v>
      </c>
      <c r="B144" t="s">
        <v>784</v>
      </c>
      <c r="C144" t="s">
        <v>768</v>
      </c>
    </row>
    <row r="145" spans="1:3">
      <c r="A145" s="8" t="s">
        <v>562</v>
      </c>
      <c r="B145" t="s">
        <v>200</v>
      </c>
      <c r="C145" t="s">
        <v>769</v>
      </c>
    </row>
    <row r="146" spans="1:3">
      <c r="A146" s="8" t="s">
        <v>562</v>
      </c>
      <c r="B146" t="s">
        <v>177</v>
      </c>
      <c r="C146" t="s">
        <v>774</v>
      </c>
    </row>
    <row r="147" spans="1:3">
      <c r="A147" s="8" t="s">
        <v>562</v>
      </c>
      <c r="B147" t="s">
        <v>174</v>
      </c>
      <c r="C147" t="s">
        <v>774</v>
      </c>
    </row>
    <row r="148" spans="1:3">
      <c r="A148" s="8" t="s">
        <v>744</v>
      </c>
      <c r="B148" t="s">
        <v>803</v>
      </c>
      <c r="C148" t="s">
        <v>768</v>
      </c>
    </row>
    <row r="149" spans="1:3">
      <c r="A149" s="8" t="s">
        <v>744</v>
      </c>
      <c r="B149" t="s">
        <v>166</v>
      </c>
      <c r="C149" t="s">
        <v>767</v>
      </c>
    </row>
    <row r="150" spans="1:3">
      <c r="A150" s="8" t="s">
        <v>744</v>
      </c>
      <c r="B150" t="s">
        <v>216</v>
      </c>
      <c r="C150" t="s">
        <v>774</v>
      </c>
    </row>
    <row r="151" spans="1:3">
      <c r="A151" s="8" t="s">
        <v>744</v>
      </c>
      <c r="B151" t="s">
        <v>188</v>
      </c>
      <c r="C151" t="s">
        <v>767</v>
      </c>
    </row>
    <row r="152" spans="1:3">
      <c r="A152" s="8" t="s">
        <v>745</v>
      </c>
      <c r="B152" t="s">
        <v>796</v>
      </c>
      <c r="C152" t="s">
        <v>769</v>
      </c>
    </row>
    <row r="153" spans="1:3">
      <c r="A153" s="14" t="s">
        <v>745</v>
      </c>
      <c r="B153" t="s">
        <v>217</v>
      </c>
      <c r="C153" t="s">
        <v>768</v>
      </c>
    </row>
    <row r="154" spans="1:3">
      <c r="A154" s="14" t="s">
        <v>745</v>
      </c>
      <c r="B154" t="s">
        <v>218</v>
      </c>
      <c r="C154" t="s">
        <v>775</v>
      </c>
    </row>
    <row r="155" spans="1:3">
      <c r="A155" s="14" t="s">
        <v>745</v>
      </c>
      <c r="B155" t="s">
        <v>169</v>
      </c>
      <c r="C155" t="s">
        <v>768</v>
      </c>
    </row>
    <row r="156" spans="1:3">
      <c r="A156" s="8" t="s">
        <v>746</v>
      </c>
      <c r="B156" t="s">
        <v>805</v>
      </c>
      <c r="C156" t="s">
        <v>768</v>
      </c>
    </row>
    <row r="157" spans="1:3">
      <c r="A157" s="14" t="s">
        <v>746</v>
      </c>
      <c r="B157" t="s">
        <v>224</v>
      </c>
      <c r="C157" t="s">
        <v>774</v>
      </c>
    </row>
    <row r="158" spans="1:3">
      <c r="A158" s="14" t="s">
        <v>746</v>
      </c>
      <c r="B158" t="s">
        <v>185</v>
      </c>
      <c r="C158" t="s">
        <v>772</v>
      </c>
    </row>
    <row r="159" spans="1:3">
      <c r="A159" s="14" t="s">
        <v>746</v>
      </c>
      <c r="B159" t="s">
        <v>230</v>
      </c>
      <c r="C159" t="s">
        <v>775</v>
      </c>
    </row>
    <row r="160" spans="1:3">
      <c r="A160" s="8" t="s">
        <v>747</v>
      </c>
      <c r="B160" t="s">
        <v>776</v>
      </c>
      <c r="C160" t="s">
        <v>767</v>
      </c>
    </row>
    <row r="161" spans="1:3">
      <c r="A161" s="8" t="s">
        <v>747</v>
      </c>
      <c r="B161" t="s">
        <v>219</v>
      </c>
      <c r="C161" t="s">
        <v>774</v>
      </c>
    </row>
    <row r="162" spans="1:3">
      <c r="A162" s="8" t="s">
        <v>747</v>
      </c>
      <c r="B162" t="s">
        <v>220</v>
      </c>
      <c r="C162" t="s">
        <v>772</v>
      </c>
    </row>
    <row r="163" spans="1:3">
      <c r="A163" s="8" t="s">
        <v>747</v>
      </c>
      <c r="B163" t="s">
        <v>178</v>
      </c>
      <c r="C163" t="s">
        <v>772</v>
      </c>
    </row>
    <row r="164" spans="1:3">
      <c r="A164" s="8" t="s">
        <v>689</v>
      </c>
      <c r="B164" t="s">
        <v>781</v>
      </c>
      <c r="C164" t="s">
        <v>775</v>
      </c>
    </row>
    <row r="165" spans="1:3">
      <c r="A165" s="14" t="s">
        <v>689</v>
      </c>
      <c r="B165" t="s">
        <v>221</v>
      </c>
      <c r="C165" t="s">
        <v>775</v>
      </c>
    </row>
    <row r="166" spans="1:3">
      <c r="A166" s="14" t="s">
        <v>689</v>
      </c>
      <c r="B166" t="s">
        <v>166</v>
      </c>
      <c r="C166" t="s">
        <v>767</v>
      </c>
    </row>
    <row r="167" spans="1:3">
      <c r="A167" s="14" t="s">
        <v>689</v>
      </c>
      <c r="B167" t="s">
        <v>188</v>
      </c>
      <c r="C167" t="s">
        <v>767</v>
      </c>
    </row>
    <row r="168" spans="1:3">
      <c r="A168" s="8" t="s">
        <v>748</v>
      </c>
      <c r="B168" t="s">
        <v>791</v>
      </c>
      <c r="C168" t="s">
        <v>770</v>
      </c>
    </row>
    <row r="169" spans="1:3">
      <c r="A169" s="8" t="s">
        <v>748</v>
      </c>
      <c r="B169" t="s">
        <v>188</v>
      </c>
      <c r="C169" t="s">
        <v>767</v>
      </c>
    </row>
    <row r="170" spans="1:3">
      <c r="A170" s="8" t="s">
        <v>748</v>
      </c>
      <c r="B170" t="s">
        <v>231</v>
      </c>
      <c r="C170" t="s">
        <v>774</v>
      </c>
    </row>
    <row r="171" spans="1:3">
      <c r="A171" s="8" t="s">
        <v>749</v>
      </c>
      <c r="B171" t="s">
        <v>804</v>
      </c>
      <c r="C171" t="s">
        <v>775</v>
      </c>
    </row>
    <row r="172" spans="1:3">
      <c r="A172" s="8" t="s">
        <v>749</v>
      </c>
      <c r="B172" t="s">
        <v>222</v>
      </c>
      <c r="C172" t="s">
        <v>769</v>
      </c>
    </row>
    <row r="173" spans="1:3">
      <c r="A173" s="8" t="s">
        <v>749</v>
      </c>
      <c r="B173" t="s">
        <v>166</v>
      </c>
      <c r="C173" t="s">
        <v>767</v>
      </c>
    </row>
    <row r="174" spans="1:3">
      <c r="A174" s="8" t="s">
        <v>750</v>
      </c>
      <c r="B174" t="s">
        <v>788</v>
      </c>
      <c r="C174" t="s">
        <v>775</v>
      </c>
    </row>
    <row r="175" spans="1:3">
      <c r="A175" s="14" t="s">
        <v>750</v>
      </c>
      <c r="B175" t="s">
        <v>163</v>
      </c>
      <c r="C175" t="s">
        <v>771</v>
      </c>
    </row>
    <row r="176" spans="1:3">
      <c r="A176" s="14" t="s">
        <v>750</v>
      </c>
      <c r="B176" t="s">
        <v>164</v>
      </c>
      <c r="C176" t="s">
        <v>519</v>
      </c>
    </row>
    <row r="177" spans="1:3">
      <c r="A177" s="14" t="s">
        <v>750</v>
      </c>
      <c r="B177" t="s">
        <v>185</v>
      </c>
      <c r="C177" t="s">
        <v>772</v>
      </c>
    </row>
    <row r="178" spans="1:3">
      <c r="A178" s="8" t="s">
        <v>751</v>
      </c>
      <c r="B178" t="s">
        <v>790</v>
      </c>
      <c r="C178" t="s">
        <v>770</v>
      </c>
    </row>
    <row r="179" spans="1:3">
      <c r="A179" s="8" t="s">
        <v>751</v>
      </c>
      <c r="B179" t="s">
        <v>223</v>
      </c>
      <c r="C179" t="s">
        <v>771</v>
      </c>
    </row>
    <row r="180" spans="1:3">
      <c r="A180" s="8" t="s">
        <v>751</v>
      </c>
      <c r="B180" t="s">
        <v>209</v>
      </c>
      <c r="C180" t="s">
        <v>775</v>
      </c>
    </row>
    <row r="181" spans="1:3">
      <c r="A181" s="8" t="s">
        <v>751</v>
      </c>
      <c r="B181" t="s">
        <v>185</v>
      </c>
      <c r="C181" t="s">
        <v>772</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6E057-8FF4-4443-9C3D-DC82359A2705}">
  <dimension ref="A1:L47"/>
  <sheetViews>
    <sheetView zoomScale="160" zoomScaleNormal="160" workbookViewId="0">
      <selection activeCell="Q12" sqref="Q12"/>
    </sheetView>
  </sheetViews>
  <sheetFormatPr defaultRowHeight="14.4"/>
  <cols>
    <col min="1" max="1" width="12.88671875" customWidth="1"/>
    <col min="2" max="2" width="7.21875" bestFit="1" customWidth="1"/>
    <col min="3" max="3" width="8.21875" bestFit="1" customWidth="1"/>
    <col min="4" max="4" width="7.77734375" bestFit="1" customWidth="1"/>
    <col min="5" max="5" width="7.6640625" bestFit="1" customWidth="1"/>
    <col min="6" max="6" width="8" bestFit="1" customWidth="1"/>
    <col min="7" max="7" width="8.21875" bestFit="1" customWidth="1"/>
    <col min="8" max="9" width="7.5546875" bestFit="1" customWidth="1"/>
    <col min="10" max="10" width="7.77734375" bestFit="1" customWidth="1"/>
    <col min="11" max="11" width="8.109375" bestFit="1" customWidth="1"/>
    <col min="12" max="12" width="10.6640625" bestFit="1" customWidth="1"/>
  </cols>
  <sheetData>
    <row r="1" spans="1:12" ht="43.2">
      <c r="A1" s="9" t="s">
        <v>710</v>
      </c>
      <c r="B1" t="s">
        <v>754</v>
      </c>
      <c r="C1" t="s">
        <v>755</v>
      </c>
      <c r="D1" t="s">
        <v>756</v>
      </c>
      <c r="E1" t="s">
        <v>758</v>
      </c>
      <c r="F1" t="s">
        <v>757</v>
      </c>
      <c r="G1" t="s">
        <v>759</v>
      </c>
      <c r="H1" t="s">
        <v>760</v>
      </c>
      <c r="I1" t="s">
        <v>761</v>
      </c>
      <c r="J1" t="s">
        <v>762</v>
      </c>
      <c r="K1" t="s">
        <v>763</v>
      </c>
      <c r="L1" s="11" t="s">
        <v>359</v>
      </c>
    </row>
    <row r="2" spans="1:12">
      <c r="A2" s="12" t="s">
        <v>712</v>
      </c>
      <c r="B2" s="10"/>
      <c r="C2" s="10"/>
      <c r="D2" s="10">
        <v>1</v>
      </c>
      <c r="E2" s="10"/>
      <c r="F2" s="10"/>
      <c r="G2" s="10">
        <v>1</v>
      </c>
      <c r="H2" s="10"/>
      <c r="I2" s="10">
        <v>1</v>
      </c>
      <c r="J2" s="10">
        <v>1</v>
      </c>
      <c r="K2" s="10"/>
      <c r="L2" s="10">
        <f t="shared" ref="L2:L47" si="0">SUM(B2:K2)</f>
        <v>4</v>
      </c>
    </row>
    <row r="3" spans="1:12">
      <c r="A3" s="12" t="s">
        <v>713</v>
      </c>
      <c r="B3" s="10">
        <v>1</v>
      </c>
      <c r="C3" s="10"/>
      <c r="D3" s="10"/>
      <c r="E3" s="10">
        <v>1</v>
      </c>
      <c r="F3" s="10">
        <v>1</v>
      </c>
      <c r="G3" s="10"/>
      <c r="H3" s="10">
        <v>1</v>
      </c>
      <c r="I3" s="10"/>
      <c r="J3" s="10"/>
      <c r="K3" s="10"/>
      <c r="L3" s="10">
        <f t="shared" si="0"/>
        <v>4</v>
      </c>
    </row>
    <row r="4" spans="1:12">
      <c r="A4" s="12" t="s">
        <v>714</v>
      </c>
      <c r="B4" s="10"/>
      <c r="C4" s="10"/>
      <c r="D4" s="10"/>
      <c r="E4" s="10"/>
      <c r="F4" s="10">
        <v>1</v>
      </c>
      <c r="G4" s="10"/>
      <c r="H4" s="10">
        <v>2</v>
      </c>
      <c r="I4" s="10"/>
      <c r="J4" s="10"/>
      <c r="K4" s="10">
        <v>1</v>
      </c>
      <c r="L4" s="10">
        <f t="shared" si="0"/>
        <v>4</v>
      </c>
    </row>
    <row r="5" spans="1:12">
      <c r="A5" s="12" t="s">
        <v>715</v>
      </c>
      <c r="B5" s="10"/>
      <c r="C5" s="10"/>
      <c r="D5" s="10"/>
      <c r="E5" s="10"/>
      <c r="F5" s="10">
        <v>3</v>
      </c>
      <c r="G5" s="10"/>
      <c r="H5" s="10"/>
      <c r="I5" s="10">
        <v>1</v>
      </c>
      <c r="J5" s="10"/>
      <c r="K5" s="10"/>
      <c r="L5" s="10">
        <f>SUM(B5:K5)</f>
        <v>4</v>
      </c>
    </row>
    <row r="6" spans="1:12">
      <c r="A6" s="12" t="s">
        <v>716</v>
      </c>
      <c r="B6" s="10">
        <v>2</v>
      </c>
      <c r="C6" s="10"/>
      <c r="D6" s="10"/>
      <c r="E6" s="10"/>
      <c r="F6" s="10"/>
      <c r="G6" s="10"/>
      <c r="H6" s="10">
        <v>2</v>
      </c>
      <c r="I6" s="10"/>
      <c r="J6" s="10"/>
      <c r="K6" s="10"/>
      <c r="L6" s="10">
        <f t="shared" si="0"/>
        <v>4</v>
      </c>
    </row>
    <row r="7" spans="1:12">
      <c r="A7" s="12" t="s">
        <v>717</v>
      </c>
      <c r="B7" s="10"/>
      <c r="C7" s="10"/>
      <c r="D7" s="10"/>
      <c r="E7" s="10"/>
      <c r="F7" s="10">
        <v>1</v>
      </c>
      <c r="G7" s="10"/>
      <c r="H7" s="10"/>
      <c r="I7" s="10"/>
      <c r="J7" s="10">
        <v>2</v>
      </c>
      <c r="K7" s="10">
        <v>1</v>
      </c>
      <c r="L7" s="10">
        <f t="shared" si="0"/>
        <v>4</v>
      </c>
    </row>
    <row r="8" spans="1:12">
      <c r="A8" s="12" t="s">
        <v>718</v>
      </c>
      <c r="B8" s="10"/>
      <c r="C8" s="10">
        <v>1</v>
      </c>
      <c r="D8" s="10"/>
      <c r="E8" s="10"/>
      <c r="F8" s="10">
        <v>1</v>
      </c>
      <c r="G8" s="10">
        <v>2</v>
      </c>
      <c r="H8" s="10"/>
      <c r="I8" s="10"/>
      <c r="J8" s="10"/>
      <c r="K8" s="10"/>
      <c r="L8" s="10">
        <f t="shared" si="0"/>
        <v>4</v>
      </c>
    </row>
    <row r="9" spans="1:12">
      <c r="A9" s="12" t="s">
        <v>719</v>
      </c>
      <c r="B9" s="10"/>
      <c r="C9" s="10"/>
      <c r="D9" s="10"/>
      <c r="E9" s="10"/>
      <c r="F9" s="10"/>
      <c r="G9" s="10"/>
      <c r="H9" s="10">
        <v>2</v>
      </c>
      <c r="I9" s="10">
        <v>1</v>
      </c>
      <c r="J9" s="10">
        <v>1</v>
      </c>
      <c r="K9" s="10"/>
      <c r="L9" s="10">
        <f t="shared" si="0"/>
        <v>4</v>
      </c>
    </row>
    <row r="10" spans="1:12">
      <c r="A10" s="12" t="s">
        <v>720</v>
      </c>
      <c r="B10" s="10">
        <v>1</v>
      </c>
      <c r="C10" s="10"/>
      <c r="D10" s="10"/>
      <c r="E10" s="10"/>
      <c r="F10" s="10">
        <v>1</v>
      </c>
      <c r="G10" s="10"/>
      <c r="H10" s="10"/>
      <c r="I10" s="10"/>
      <c r="J10" s="10"/>
      <c r="K10" s="10">
        <v>2</v>
      </c>
      <c r="L10" s="10">
        <f t="shared" si="0"/>
        <v>4</v>
      </c>
    </row>
    <row r="11" spans="1:12">
      <c r="A11" s="12" t="s">
        <v>721</v>
      </c>
      <c r="B11" s="10">
        <v>3</v>
      </c>
      <c r="C11" s="10"/>
      <c r="D11" s="10"/>
      <c r="E11" s="10">
        <v>1</v>
      </c>
      <c r="F11" s="10"/>
      <c r="G11" s="10"/>
      <c r="H11" s="10"/>
      <c r="I11" s="10"/>
      <c r="J11" s="10"/>
      <c r="K11" s="10"/>
      <c r="L11" s="10">
        <f t="shared" si="0"/>
        <v>4</v>
      </c>
    </row>
    <row r="12" spans="1:12">
      <c r="A12" s="12" t="s">
        <v>722</v>
      </c>
      <c r="B12" s="10"/>
      <c r="C12" s="10"/>
      <c r="D12" s="10"/>
      <c r="E12" s="10">
        <v>1</v>
      </c>
      <c r="F12" s="10"/>
      <c r="G12" s="10">
        <v>1</v>
      </c>
      <c r="H12" s="10">
        <v>1</v>
      </c>
      <c r="I12" s="10">
        <v>1</v>
      </c>
      <c r="J12" s="10"/>
      <c r="K12" s="10"/>
      <c r="L12" s="10">
        <f t="shared" si="0"/>
        <v>4</v>
      </c>
    </row>
    <row r="13" spans="1:12">
      <c r="A13" s="12" t="s">
        <v>723</v>
      </c>
      <c r="B13" s="10"/>
      <c r="C13" s="10"/>
      <c r="D13" s="10"/>
      <c r="E13" s="10"/>
      <c r="F13" s="10">
        <v>2</v>
      </c>
      <c r="G13" s="10"/>
      <c r="H13" s="10"/>
      <c r="I13" s="10"/>
      <c r="J13" s="10"/>
      <c r="K13" s="10">
        <v>2</v>
      </c>
      <c r="L13" s="10">
        <f t="shared" si="0"/>
        <v>4</v>
      </c>
    </row>
    <row r="14" spans="1:12">
      <c r="A14" s="12" t="s">
        <v>724</v>
      </c>
      <c r="B14" s="10"/>
      <c r="C14" s="10"/>
      <c r="D14" s="10"/>
      <c r="E14" s="10">
        <v>1</v>
      </c>
      <c r="F14" s="10"/>
      <c r="G14" s="10"/>
      <c r="H14" s="10">
        <v>3</v>
      </c>
      <c r="I14" s="10"/>
      <c r="J14" s="10"/>
      <c r="K14" s="10"/>
      <c r="L14" s="10">
        <f t="shared" si="0"/>
        <v>4</v>
      </c>
    </row>
    <row r="15" spans="1:12">
      <c r="A15" s="12" t="s">
        <v>725</v>
      </c>
      <c r="B15" s="10"/>
      <c r="C15" s="10"/>
      <c r="D15" s="10"/>
      <c r="E15" s="10">
        <v>1</v>
      </c>
      <c r="F15" s="10"/>
      <c r="G15" s="10"/>
      <c r="H15" s="10">
        <v>3</v>
      </c>
      <c r="I15" s="10"/>
      <c r="J15" s="10"/>
      <c r="K15" s="10"/>
      <c r="L15" s="10">
        <f t="shared" si="0"/>
        <v>4</v>
      </c>
    </row>
    <row r="16" spans="1:12">
      <c r="A16" s="12" t="s">
        <v>726</v>
      </c>
      <c r="B16" s="10"/>
      <c r="C16" s="10"/>
      <c r="D16" s="10"/>
      <c r="E16" s="10">
        <v>1</v>
      </c>
      <c r="F16" s="10">
        <v>1</v>
      </c>
      <c r="G16" s="10"/>
      <c r="H16" s="10"/>
      <c r="I16" s="10"/>
      <c r="J16" s="10"/>
      <c r="K16" s="10">
        <v>2</v>
      </c>
      <c r="L16" s="10">
        <f t="shared" si="0"/>
        <v>4</v>
      </c>
    </row>
    <row r="17" spans="1:12">
      <c r="A17" s="12" t="s">
        <v>727</v>
      </c>
      <c r="B17" s="10">
        <v>2</v>
      </c>
      <c r="C17" s="10"/>
      <c r="D17" s="10"/>
      <c r="E17" s="10"/>
      <c r="F17" s="10"/>
      <c r="G17" s="10"/>
      <c r="H17" s="10">
        <v>1</v>
      </c>
      <c r="I17" s="10">
        <v>1</v>
      </c>
      <c r="J17" s="10"/>
      <c r="K17" s="10"/>
      <c r="L17" s="10">
        <f t="shared" si="0"/>
        <v>4</v>
      </c>
    </row>
    <row r="18" spans="1:12">
      <c r="A18" s="12" t="s">
        <v>587</v>
      </c>
      <c r="B18" s="10"/>
      <c r="C18" s="10"/>
      <c r="D18" s="10"/>
      <c r="E18" s="10">
        <v>1</v>
      </c>
      <c r="F18" s="10"/>
      <c r="G18" s="10"/>
      <c r="H18" s="10">
        <v>3</v>
      </c>
      <c r="I18" s="10"/>
      <c r="J18" s="10"/>
      <c r="K18" s="10"/>
      <c r="L18" s="10">
        <f t="shared" si="0"/>
        <v>4</v>
      </c>
    </row>
    <row r="19" spans="1:12">
      <c r="A19" s="12" t="s">
        <v>728</v>
      </c>
      <c r="B19" s="10">
        <v>1</v>
      </c>
      <c r="C19" s="10"/>
      <c r="D19" s="10"/>
      <c r="E19" s="10">
        <v>1</v>
      </c>
      <c r="F19" s="10">
        <v>1</v>
      </c>
      <c r="G19" s="10"/>
      <c r="H19" s="10">
        <v>1</v>
      </c>
      <c r="I19" s="10"/>
      <c r="J19" s="10"/>
      <c r="K19" s="10"/>
      <c r="L19" s="10">
        <f t="shared" si="0"/>
        <v>4</v>
      </c>
    </row>
    <row r="20" spans="1:12">
      <c r="A20" s="12" t="s">
        <v>729</v>
      </c>
      <c r="B20" s="10">
        <v>1</v>
      </c>
      <c r="C20" s="10"/>
      <c r="D20" s="10"/>
      <c r="E20" s="10">
        <v>1</v>
      </c>
      <c r="F20" s="10"/>
      <c r="G20" s="10">
        <v>1</v>
      </c>
      <c r="H20" s="10"/>
      <c r="I20" s="10"/>
      <c r="J20" s="10">
        <v>1</v>
      </c>
      <c r="K20" s="10"/>
      <c r="L20" s="10">
        <f t="shared" si="0"/>
        <v>4</v>
      </c>
    </row>
    <row r="21" spans="1:12">
      <c r="A21" s="12" t="s">
        <v>730</v>
      </c>
      <c r="B21" s="10"/>
      <c r="C21" s="10"/>
      <c r="D21" s="10">
        <v>1</v>
      </c>
      <c r="E21" s="10">
        <v>2</v>
      </c>
      <c r="F21" s="10"/>
      <c r="G21" s="10"/>
      <c r="H21" s="10">
        <v>1</v>
      </c>
      <c r="I21" s="10"/>
      <c r="J21" s="10"/>
      <c r="K21" s="10"/>
      <c r="L21" s="10">
        <f t="shared" si="0"/>
        <v>4</v>
      </c>
    </row>
    <row r="22" spans="1:12">
      <c r="A22" s="12" t="s">
        <v>731</v>
      </c>
      <c r="B22" s="10">
        <v>1</v>
      </c>
      <c r="C22" s="10"/>
      <c r="D22" s="10">
        <v>1</v>
      </c>
      <c r="E22" s="10"/>
      <c r="F22" s="10"/>
      <c r="G22" s="10"/>
      <c r="H22" s="10"/>
      <c r="I22" s="10"/>
      <c r="J22" s="10"/>
      <c r="K22" s="10">
        <v>2</v>
      </c>
      <c r="L22" s="10">
        <f t="shared" si="0"/>
        <v>4</v>
      </c>
    </row>
    <row r="23" spans="1:12">
      <c r="A23" s="12" t="s">
        <v>732</v>
      </c>
      <c r="B23" s="10"/>
      <c r="C23" s="10">
        <v>1</v>
      </c>
      <c r="D23" s="10"/>
      <c r="E23" s="10">
        <v>1</v>
      </c>
      <c r="F23" s="10">
        <v>1</v>
      </c>
      <c r="G23" s="10"/>
      <c r="H23" s="10"/>
      <c r="I23" s="10"/>
      <c r="J23" s="10"/>
      <c r="K23" s="10">
        <v>1</v>
      </c>
      <c r="L23" s="10">
        <f t="shared" si="0"/>
        <v>4</v>
      </c>
    </row>
    <row r="24" spans="1:12">
      <c r="A24" s="12" t="s">
        <v>625</v>
      </c>
      <c r="B24" s="10"/>
      <c r="C24" s="10"/>
      <c r="D24" s="10"/>
      <c r="E24" s="10"/>
      <c r="F24" s="10"/>
      <c r="G24" s="10"/>
      <c r="H24" s="10"/>
      <c r="I24" s="10"/>
      <c r="J24" s="10"/>
      <c r="K24" s="10">
        <v>4</v>
      </c>
      <c r="L24" s="10">
        <f t="shared" si="0"/>
        <v>4</v>
      </c>
    </row>
    <row r="25" spans="1:12">
      <c r="A25" s="12" t="s">
        <v>636</v>
      </c>
      <c r="B25" s="10">
        <v>1</v>
      </c>
      <c r="C25" s="10"/>
      <c r="D25" s="10"/>
      <c r="E25" s="10">
        <v>1</v>
      </c>
      <c r="F25" s="10">
        <v>1</v>
      </c>
      <c r="G25" s="10"/>
      <c r="H25" s="10"/>
      <c r="I25" s="10"/>
      <c r="J25" s="10"/>
      <c r="K25" s="10">
        <v>1</v>
      </c>
      <c r="L25" s="10">
        <f t="shared" si="0"/>
        <v>4</v>
      </c>
    </row>
    <row r="26" spans="1:12">
      <c r="A26" s="12" t="s">
        <v>733</v>
      </c>
      <c r="B26" s="10"/>
      <c r="C26" s="10"/>
      <c r="D26" s="10">
        <v>1</v>
      </c>
      <c r="E26" s="10"/>
      <c r="F26" s="10"/>
      <c r="G26" s="10">
        <v>2</v>
      </c>
      <c r="H26" s="10"/>
      <c r="I26" s="10"/>
      <c r="J26" s="10"/>
      <c r="K26" s="10">
        <v>1</v>
      </c>
      <c r="L26" s="10">
        <f t="shared" si="0"/>
        <v>4</v>
      </c>
    </row>
    <row r="27" spans="1:12">
      <c r="A27" s="12" t="s">
        <v>734</v>
      </c>
      <c r="B27" s="10"/>
      <c r="C27" s="10"/>
      <c r="D27" s="10">
        <v>1</v>
      </c>
      <c r="E27" s="10"/>
      <c r="F27" s="10"/>
      <c r="G27" s="10"/>
      <c r="H27" s="10">
        <v>1</v>
      </c>
      <c r="I27" s="10"/>
      <c r="J27" s="10">
        <v>2</v>
      </c>
      <c r="K27" s="10"/>
      <c r="L27" s="10">
        <f t="shared" si="0"/>
        <v>4</v>
      </c>
    </row>
    <row r="28" spans="1:12">
      <c r="A28" s="12" t="s">
        <v>735</v>
      </c>
      <c r="B28" s="10"/>
      <c r="C28" s="10">
        <v>3</v>
      </c>
      <c r="D28" s="10"/>
      <c r="E28" s="10"/>
      <c r="F28" s="10">
        <v>1</v>
      </c>
      <c r="G28" s="10"/>
      <c r="H28" s="10"/>
      <c r="I28" s="10"/>
      <c r="J28" s="10"/>
      <c r="K28" s="10"/>
      <c r="L28" s="10">
        <f t="shared" si="0"/>
        <v>4</v>
      </c>
    </row>
    <row r="29" spans="1:12">
      <c r="A29" s="12" t="s">
        <v>736</v>
      </c>
      <c r="B29" s="10"/>
      <c r="C29" s="10"/>
      <c r="D29" s="10">
        <v>1</v>
      </c>
      <c r="E29" s="10">
        <v>1</v>
      </c>
      <c r="F29" s="10">
        <v>1</v>
      </c>
      <c r="G29" s="10"/>
      <c r="H29" s="10"/>
      <c r="I29" s="10"/>
      <c r="J29" s="10">
        <v>1</v>
      </c>
      <c r="K29" s="10"/>
      <c r="L29" s="10">
        <f t="shared" si="0"/>
        <v>4</v>
      </c>
    </row>
    <row r="30" spans="1:12">
      <c r="A30" s="12" t="s">
        <v>84</v>
      </c>
      <c r="B30" s="10"/>
      <c r="C30" s="10"/>
      <c r="D30" s="10">
        <v>1</v>
      </c>
      <c r="E30" s="10">
        <v>2</v>
      </c>
      <c r="F30" s="10"/>
      <c r="G30" s="10"/>
      <c r="H30" s="10">
        <v>1</v>
      </c>
      <c r="I30" s="10"/>
      <c r="J30" s="10"/>
      <c r="K30" s="10"/>
      <c r="L30" s="10">
        <f t="shared" si="0"/>
        <v>4</v>
      </c>
    </row>
    <row r="31" spans="1:12">
      <c r="A31" s="12" t="s">
        <v>738</v>
      </c>
      <c r="B31" s="10">
        <v>3</v>
      </c>
      <c r="C31" s="10"/>
      <c r="D31" s="10"/>
      <c r="E31" s="10"/>
      <c r="F31" s="10">
        <v>1</v>
      </c>
      <c r="G31" s="10"/>
      <c r="H31" s="10"/>
      <c r="I31" s="10"/>
      <c r="J31" s="10"/>
      <c r="K31" s="10"/>
      <c r="L31" s="10">
        <f t="shared" si="0"/>
        <v>4</v>
      </c>
    </row>
    <row r="32" spans="1:12">
      <c r="A32" s="12" t="s">
        <v>739</v>
      </c>
      <c r="B32" s="10"/>
      <c r="C32" s="10"/>
      <c r="D32" s="10">
        <v>1</v>
      </c>
      <c r="E32" s="10"/>
      <c r="F32" s="10">
        <v>2</v>
      </c>
      <c r="G32" s="10"/>
      <c r="H32" s="10">
        <v>1</v>
      </c>
      <c r="I32" s="10"/>
      <c r="J32" s="10"/>
      <c r="K32" s="10"/>
      <c r="L32" s="10">
        <f t="shared" si="0"/>
        <v>4</v>
      </c>
    </row>
    <row r="33" spans="1:12">
      <c r="A33" s="12" t="s">
        <v>740</v>
      </c>
      <c r="B33" s="10"/>
      <c r="C33" s="10"/>
      <c r="D33" s="10"/>
      <c r="E33" s="10"/>
      <c r="F33" s="10">
        <v>1</v>
      </c>
      <c r="G33" s="10"/>
      <c r="H33" s="10">
        <v>2</v>
      </c>
      <c r="I33" s="10"/>
      <c r="J33" s="10">
        <v>1</v>
      </c>
      <c r="K33" s="10"/>
      <c r="L33" s="10">
        <f t="shared" si="0"/>
        <v>4</v>
      </c>
    </row>
    <row r="34" spans="1:12">
      <c r="A34" s="12" t="s">
        <v>741</v>
      </c>
      <c r="B34" s="10"/>
      <c r="C34" s="10"/>
      <c r="D34" s="10"/>
      <c r="E34" s="10">
        <v>1</v>
      </c>
      <c r="F34" s="10">
        <v>1</v>
      </c>
      <c r="G34" s="10"/>
      <c r="H34" s="10">
        <v>2</v>
      </c>
      <c r="I34" s="10"/>
      <c r="J34" s="10"/>
      <c r="K34" s="10"/>
      <c r="L34" s="10">
        <f t="shared" si="0"/>
        <v>4</v>
      </c>
    </row>
    <row r="35" spans="1:12">
      <c r="A35" s="12" t="s">
        <v>743</v>
      </c>
      <c r="B35" s="10"/>
      <c r="C35" s="10"/>
      <c r="D35" s="10"/>
      <c r="E35" s="10">
        <v>1</v>
      </c>
      <c r="F35" s="10"/>
      <c r="G35" s="10">
        <v>2</v>
      </c>
      <c r="H35" s="10">
        <v>1</v>
      </c>
      <c r="I35" s="10"/>
      <c r="J35" s="10"/>
      <c r="K35" s="10"/>
      <c r="L35" s="10">
        <f t="shared" si="0"/>
        <v>4</v>
      </c>
    </row>
    <row r="36" spans="1:12">
      <c r="A36" s="12" t="s">
        <v>562</v>
      </c>
      <c r="B36" s="10"/>
      <c r="C36" s="10"/>
      <c r="D36" s="10"/>
      <c r="E36" s="10">
        <v>1</v>
      </c>
      <c r="F36" s="10"/>
      <c r="G36" s="10"/>
      <c r="H36" s="10">
        <v>1</v>
      </c>
      <c r="I36" s="10"/>
      <c r="J36" s="10">
        <v>2</v>
      </c>
      <c r="K36" s="10"/>
      <c r="L36" s="10">
        <f t="shared" si="0"/>
        <v>4</v>
      </c>
    </row>
    <row r="37" spans="1:12">
      <c r="A37" s="12" t="s">
        <v>744</v>
      </c>
      <c r="B37" s="10">
        <v>2</v>
      </c>
      <c r="C37" s="10"/>
      <c r="D37" s="10"/>
      <c r="E37" s="10"/>
      <c r="F37" s="10"/>
      <c r="G37" s="10"/>
      <c r="H37" s="10">
        <v>1</v>
      </c>
      <c r="I37" s="10"/>
      <c r="J37" s="10">
        <v>1</v>
      </c>
      <c r="K37" s="10"/>
      <c r="L37" s="10">
        <f t="shared" si="0"/>
        <v>4</v>
      </c>
    </row>
    <row r="38" spans="1:12">
      <c r="A38" s="12" t="s">
        <v>745</v>
      </c>
      <c r="B38" s="10"/>
      <c r="C38" s="10"/>
      <c r="D38" s="10"/>
      <c r="E38" s="10">
        <v>1</v>
      </c>
      <c r="F38" s="10"/>
      <c r="G38" s="10"/>
      <c r="H38" s="10">
        <v>2</v>
      </c>
      <c r="I38" s="10"/>
      <c r="J38" s="10"/>
      <c r="K38" s="10">
        <v>1</v>
      </c>
      <c r="L38" s="10">
        <f t="shared" si="0"/>
        <v>4</v>
      </c>
    </row>
    <row r="39" spans="1:12">
      <c r="A39" s="12" t="s">
        <v>746</v>
      </c>
      <c r="B39" s="10"/>
      <c r="C39" s="10"/>
      <c r="D39" s="10"/>
      <c r="E39" s="10"/>
      <c r="F39" s="10">
        <v>1</v>
      </c>
      <c r="G39" s="10"/>
      <c r="H39" s="10">
        <v>1</v>
      </c>
      <c r="I39" s="10"/>
      <c r="J39" s="10">
        <v>1</v>
      </c>
      <c r="K39" s="10">
        <v>1</v>
      </c>
      <c r="L39" s="10">
        <f t="shared" si="0"/>
        <v>4</v>
      </c>
    </row>
    <row r="40" spans="1:12">
      <c r="A40" s="12" t="s">
        <v>747</v>
      </c>
      <c r="B40" s="10">
        <v>1</v>
      </c>
      <c r="C40" s="10"/>
      <c r="D40" s="10"/>
      <c r="E40" s="10"/>
      <c r="F40" s="10">
        <v>2</v>
      </c>
      <c r="G40" s="10"/>
      <c r="H40" s="10"/>
      <c r="I40" s="10"/>
      <c r="J40" s="10">
        <v>1</v>
      </c>
      <c r="K40" s="10"/>
      <c r="L40" s="10">
        <f t="shared" si="0"/>
        <v>4</v>
      </c>
    </row>
    <row r="41" spans="1:12">
      <c r="A41" s="12" t="s">
        <v>689</v>
      </c>
      <c r="B41" s="10">
        <v>2</v>
      </c>
      <c r="C41" s="10"/>
      <c r="D41" s="10"/>
      <c r="E41" s="10"/>
      <c r="F41" s="10"/>
      <c r="G41" s="10"/>
      <c r="H41" s="10"/>
      <c r="I41" s="10"/>
      <c r="J41" s="10"/>
      <c r="K41" s="10">
        <v>2</v>
      </c>
      <c r="L41" s="10">
        <f t="shared" si="0"/>
        <v>4</v>
      </c>
    </row>
    <row r="42" spans="1:12">
      <c r="A42" s="12" t="s">
        <v>750</v>
      </c>
      <c r="B42" s="10"/>
      <c r="C42" s="10"/>
      <c r="D42" s="10">
        <v>1</v>
      </c>
      <c r="E42" s="10"/>
      <c r="F42" s="10">
        <v>1</v>
      </c>
      <c r="G42" s="10">
        <v>1</v>
      </c>
      <c r="H42" s="10"/>
      <c r="I42" s="10"/>
      <c r="J42" s="10"/>
      <c r="K42" s="10">
        <v>1</v>
      </c>
      <c r="L42" s="10">
        <f t="shared" si="0"/>
        <v>4</v>
      </c>
    </row>
    <row r="43" spans="1:12">
      <c r="A43" s="12" t="s">
        <v>751</v>
      </c>
      <c r="B43" s="10"/>
      <c r="C43" s="10"/>
      <c r="D43" s="10"/>
      <c r="E43" s="10"/>
      <c r="F43" s="10">
        <v>1</v>
      </c>
      <c r="G43" s="10">
        <v>1</v>
      </c>
      <c r="H43" s="10"/>
      <c r="I43" s="10">
        <v>1</v>
      </c>
      <c r="J43" s="10"/>
      <c r="K43" s="10">
        <v>1</v>
      </c>
      <c r="L43" s="10">
        <f t="shared" si="0"/>
        <v>4</v>
      </c>
    </row>
    <row r="44" spans="1:12">
      <c r="A44" s="12" t="s">
        <v>737</v>
      </c>
      <c r="B44" s="10"/>
      <c r="C44" s="10">
        <v>2</v>
      </c>
      <c r="D44" s="10"/>
      <c r="E44" s="10"/>
      <c r="F44" s="10">
        <v>1</v>
      </c>
      <c r="G44" s="10"/>
      <c r="H44" s="10"/>
      <c r="I44" s="10"/>
      <c r="J44" s="10"/>
      <c r="K44" s="10"/>
      <c r="L44" s="10">
        <f t="shared" si="0"/>
        <v>3</v>
      </c>
    </row>
    <row r="45" spans="1:12">
      <c r="A45" s="12" t="s">
        <v>742</v>
      </c>
      <c r="B45" s="10">
        <v>1</v>
      </c>
      <c r="C45" s="10"/>
      <c r="D45" s="10"/>
      <c r="E45" s="10">
        <v>1</v>
      </c>
      <c r="F45" s="10"/>
      <c r="G45" s="10"/>
      <c r="H45" s="10"/>
      <c r="I45" s="10"/>
      <c r="J45" s="10">
        <v>1</v>
      </c>
      <c r="K45" s="10"/>
      <c r="L45" s="10">
        <f t="shared" si="0"/>
        <v>3</v>
      </c>
    </row>
    <row r="46" spans="1:12">
      <c r="A46" s="12" t="s">
        <v>748</v>
      </c>
      <c r="B46" s="10">
        <v>1</v>
      </c>
      <c r="C46" s="10"/>
      <c r="D46" s="10"/>
      <c r="E46" s="10"/>
      <c r="F46" s="10"/>
      <c r="G46" s="10"/>
      <c r="H46" s="10"/>
      <c r="I46" s="10">
        <v>1</v>
      </c>
      <c r="J46" s="10">
        <v>1</v>
      </c>
      <c r="K46" s="10"/>
      <c r="L46" s="10">
        <f t="shared" si="0"/>
        <v>3</v>
      </c>
    </row>
    <row r="47" spans="1:12">
      <c r="A47" s="12" t="s">
        <v>749</v>
      </c>
      <c r="B47" s="10">
        <v>1</v>
      </c>
      <c r="C47" s="10"/>
      <c r="D47" s="10"/>
      <c r="E47" s="10">
        <v>1</v>
      </c>
      <c r="F47" s="10"/>
      <c r="G47" s="10"/>
      <c r="H47" s="10"/>
      <c r="I47" s="10"/>
      <c r="J47" s="10"/>
      <c r="K47" s="10">
        <v>1</v>
      </c>
      <c r="L47" s="10">
        <f t="shared" si="0"/>
        <v>3</v>
      </c>
    </row>
  </sheetData>
  <conditionalFormatting sqref="B2:K47">
    <cfRule type="colorScale" priority="1">
      <colorScale>
        <cfvo type="min"/>
        <cfvo type="max"/>
        <color rgb="FFFCFCFF"/>
        <color rgb="FF63BE7B"/>
      </colorScale>
    </cfRule>
  </conditionalFormatting>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4173E-98DC-41A5-B7AE-701823546EE9}">
  <dimension ref="A1:L26"/>
  <sheetViews>
    <sheetView zoomScale="122" zoomScaleNormal="70" workbookViewId="0">
      <selection activeCell="O15" sqref="O15"/>
    </sheetView>
  </sheetViews>
  <sheetFormatPr defaultRowHeight="14.4"/>
  <cols>
    <col min="1" max="1" width="19.88671875" bestFit="1" customWidth="1"/>
    <col min="2" max="2" width="15.5546875" bestFit="1" customWidth="1"/>
    <col min="3" max="3" width="4.88671875" bestFit="1" customWidth="1"/>
    <col min="4" max="5" width="4.5546875" bestFit="1" customWidth="1"/>
    <col min="6" max="6" width="5.33203125" bestFit="1" customWidth="1"/>
    <col min="7" max="7" width="5.21875" bestFit="1" customWidth="1"/>
    <col min="8" max="8" width="4.33203125" bestFit="1" customWidth="1"/>
    <col min="9" max="9" width="4.77734375" bestFit="1" customWidth="1"/>
    <col min="10" max="10" width="5" bestFit="1" customWidth="1"/>
    <col min="11" max="11" width="5.33203125" bestFit="1" customWidth="1"/>
    <col min="12" max="12" width="10.5546875" bestFit="1" customWidth="1"/>
  </cols>
  <sheetData>
    <row r="1" spans="1:12">
      <c r="A1" s="6" t="s">
        <v>809</v>
      </c>
      <c r="B1" s="6" t="s">
        <v>154</v>
      </c>
    </row>
    <row r="2" spans="1:12">
      <c r="A2" s="6" t="s">
        <v>152</v>
      </c>
      <c r="B2" t="s">
        <v>754</v>
      </c>
      <c r="C2" t="s">
        <v>755</v>
      </c>
      <c r="D2" t="s">
        <v>756</v>
      </c>
      <c r="E2" t="s">
        <v>758</v>
      </c>
      <c r="F2" t="s">
        <v>757</v>
      </c>
      <c r="G2" t="s">
        <v>759</v>
      </c>
      <c r="H2" t="s">
        <v>760</v>
      </c>
      <c r="I2" t="s">
        <v>761</v>
      </c>
      <c r="J2" t="s">
        <v>762</v>
      </c>
      <c r="K2" t="s">
        <v>763</v>
      </c>
      <c r="L2" t="s">
        <v>153</v>
      </c>
    </row>
    <row r="3" spans="1:12">
      <c r="A3" s="7" t="s">
        <v>246</v>
      </c>
      <c r="B3">
        <v>10</v>
      </c>
      <c r="C3">
        <v>2</v>
      </c>
      <c r="D3">
        <v>6</v>
      </c>
      <c r="F3">
        <v>1</v>
      </c>
      <c r="H3">
        <v>7</v>
      </c>
      <c r="I3">
        <v>2</v>
      </c>
      <c r="J3">
        <v>2</v>
      </c>
      <c r="K3">
        <v>2</v>
      </c>
      <c r="L3">
        <v>32</v>
      </c>
    </row>
    <row r="4" spans="1:12">
      <c r="A4" s="7" t="s">
        <v>545</v>
      </c>
      <c r="C4">
        <v>1</v>
      </c>
      <c r="E4">
        <v>1</v>
      </c>
      <c r="F4">
        <v>4</v>
      </c>
      <c r="G4">
        <v>5</v>
      </c>
      <c r="I4">
        <v>1</v>
      </c>
      <c r="J4">
        <v>4</v>
      </c>
      <c r="L4">
        <v>16</v>
      </c>
    </row>
    <row r="5" spans="1:12">
      <c r="A5" s="7" t="s">
        <v>574</v>
      </c>
      <c r="C5">
        <v>3</v>
      </c>
      <c r="E5">
        <v>3</v>
      </c>
      <c r="F5">
        <v>1</v>
      </c>
      <c r="I5">
        <v>2</v>
      </c>
      <c r="L5">
        <v>9</v>
      </c>
    </row>
    <row r="6" spans="1:12">
      <c r="A6" s="7" t="s">
        <v>570</v>
      </c>
      <c r="E6">
        <v>1</v>
      </c>
      <c r="F6">
        <v>2</v>
      </c>
      <c r="H6">
        <v>2</v>
      </c>
      <c r="I6">
        <v>1</v>
      </c>
      <c r="L6">
        <v>6</v>
      </c>
    </row>
    <row r="7" spans="1:12">
      <c r="A7" s="7" t="s">
        <v>601</v>
      </c>
      <c r="C7">
        <v>1</v>
      </c>
      <c r="D7">
        <v>2</v>
      </c>
      <c r="E7">
        <v>1</v>
      </c>
      <c r="I7">
        <v>1</v>
      </c>
      <c r="L7">
        <v>5</v>
      </c>
    </row>
    <row r="8" spans="1:12">
      <c r="A8" s="7" t="s">
        <v>595</v>
      </c>
      <c r="C8">
        <v>2</v>
      </c>
      <c r="E8">
        <v>1</v>
      </c>
      <c r="I8">
        <v>1</v>
      </c>
      <c r="L8">
        <v>4</v>
      </c>
    </row>
    <row r="9" spans="1:12">
      <c r="A9" s="7" t="s">
        <v>541</v>
      </c>
      <c r="G9">
        <v>1</v>
      </c>
      <c r="J9">
        <v>1</v>
      </c>
      <c r="K9">
        <v>1</v>
      </c>
      <c r="L9">
        <v>3</v>
      </c>
    </row>
    <row r="10" spans="1:12">
      <c r="A10" s="7" t="s">
        <v>674</v>
      </c>
      <c r="E10">
        <v>1</v>
      </c>
      <c r="F10">
        <v>1</v>
      </c>
      <c r="J10">
        <v>1</v>
      </c>
      <c r="L10">
        <v>3</v>
      </c>
    </row>
    <row r="11" spans="1:12">
      <c r="A11" s="7" t="s">
        <v>634</v>
      </c>
      <c r="C11">
        <v>1</v>
      </c>
      <c r="D11">
        <v>1</v>
      </c>
      <c r="L11">
        <v>2</v>
      </c>
    </row>
    <row r="12" spans="1:12">
      <c r="A12" s="7" t="s">
        <v>662</v>
      </c>
      <c r="I12">
        <v>1</v>
      </c>
      <c r="K12">
        <v>1</v>
      </c>
      <c r="L12">
        <v>2</v>
      </c>
    </row>
    <row r="13" spans="1:12">
      <c r="A13" s="7" t="s">
        <v>640</v>
      </c>
      <c r="E13">
        <v>1</v>
      </c>
      <c r="K13">
        <v>1</v>
      </c>
      <c r="L13">
        <v>2</v>
      </c>
    </row>
    <row r="14" spans="1:12">
      <c r="A14" s="7" t="s">
        <v>518</v>
      </c>
      <c r="G14">
        <v>1</v>
      </c>
      <c r="K14">
        <v>1</v>
      </c>
      <c r="L14">
        <v>2</v>
      </c>
    </row>
    <row r="15" spans="1:12">
      <c r="A15" s="7" t="s">
        <v>696</v>
      </c>
      <c r="H15">
        <v>1</v>
      </c>
      <c r="I15">
        <v>1</v>
      </c>
      <c r="L15">
        <v>2</v>
      </c>
    </row>
    <row r="16" spans="1:12">
      <c r="A16" s="7" t="s">
        <v>679</v>
      </c>
      <c r="G16">
        <v>1</v>
      </c>
      <c r="K16">
        <v>1</v>
      </c>
      <c r="L16">
        <v>2</v>
      </c>
    </row>
    <row r="17" spans="1:12">
      <c r="A17" s="7" t="s">
        <v>587</v>
      </c>
      <c r="J17">
        <v>1</v>
      </c>
      <c r="K17">
        <v>1</v>
      </c>
      <c r="L17">
        <v>2</v>
      </c>
    </row>
    <row r="18" spans="1:12">
      <c r="A18" s="7" t="s">
        <v>556</v>
      </c>
      <c r="J18">
        <v>1</v>
      </c>
      <c r="L18">
        <v>1</v>
      </c>
    </row>
    <row r="19" spans="1:12">
      <c r="A19" s="7" t="s">
        <v>690</v>
      </c>
      <c r="F19">
        <v>1</v>
      </c>
      <c r="L19">
        <v>1</v>
      </c>
    </row>
    <row r="20" spans="1:12">
      <c r="A20" s="7" t="s">
        <v>593</v>
      </c>
      <c r="E20">
        <v>1</v>
      </c>
      <c r="L20">
        <v>1</v>
      </c>
    </row>
    <row r="21" spans="1:12">
      <c r="A21" s="7" t="s">
        <v>612</v>
      </c>
      <c r="G21">
        <v>1</v>
      </c>
      <c r="L21">
        <v>1</v>
      </c>
    </row>
    <row r="22" spans="1:12">
      <c r="A22" s="7" t="s">
        <v>681</v>
      </c>
      <c r="D22">
        <v>1</v>
      </c>
      <c r="L22">
        <v>1</v>
      </c>
    </row>
    <row r="23" spans="1:12">
      <c r="A23" s="7" t="s">
        <v>628</v>
      </c>
      <c r="K23">
        <v>1</v>
      </c>
      <c r="L23">
        <v>1</v>
      </c>
    </row>
    <row r="24" spans="1:12">
      <c r="A24" s="7" t="s">
        <v>533</v>
      </c>
      <c r="G24">
        <v>1</v>
      </c>
      <c r="L24">
        <v>1</v>
      </c>
    </row>
    <row r="25" spans="1:12">
      <c r="A25" s="7" t="s">
        <v>592</v>
      </c>
      <c r="K25">
        <v>1</v>
      </c>
      <c r="L25">
        <v>1</v>
      </c>
    </row>
    <row r="26" spans="1:12">
      <c r="A26" s="7" t="s">
        <v>153</v>
      </c>
      <c r="B26">
        <v>10</v>
      </c>
      <c r="C26">
        <v>10</v>
      </c>
      <c r="D26">
        <v>10</v>
      </c>
      <c r="E26">
        <v>10</v>
      </c>
      <c r="F26">
        <v>10</v>
      </c>
      <c r="G26">
        <v>10</v>
      </c>
      <c r="H26">
        <v>10</v>
      </c>
      <c r="I26">
        <v>10</v>
      </c>
      <c r="J26">
        <v>10</v>
      </c>
      <c r="K26">
        <v>10</v>
      </c>
      <c r="L26">
        <v>100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5F5-05FC-45FE-A5E3-93994EE42469}">
  <dimension ref="A1:E101"/>
  <sheetViews>
    <sheetView zoomScale="85" zoomScaleNormal="85" workbookViewId="0">
      <selection activeCell="M14" sqref="M14"/>
    </sheetView>
  </sheetViews>
  <sheetFormatPr defaultRowHeight="14.4"/>
  <cols>
    <col min="1" max="1" width="14.6640625" bestFit="1" customWidth="1"/>
    <col min="2" max="2" width="33" bestFit="1" customWidth="1"/>
    <col min="3" max="3" width="19.109375" bestFit="1" customWidth="1"/>
    <col min="4" max="4" width="13.5546875" bestFit="1" customWidth="1"/>
  </cols>
  <sheetData>
    <row r="1" spans="1:5">
      <c r="A1" s="5" t="s">
        <v>765</v>
      </c>
      <c r="B1" s="9" t="s">
        <v>243</v>
      </c>
      <c r="C1" s="9" t="s">
        <v>709</v>
      </c>
      <c r="D1" s="11" t="s">
        <v>244</v>
      </c>
      <c r="E1" t="s">
        <v>808</v>
      </c>
    </row>
    <row r="2" spans="1:5">
      <c r="A2" t="s">
        <v>754</v>
      </c>
      <c r="B2" s="8" t="s">
        <v>334</v>
      </c>
      <c r="C2" s="8" t="s">
        <v>246</v>
      </c>
      <c r="D2" s="10">
        <v>450</v>
      </c>
      <c r="E2">
        <f>_xlfn.RANK.AVG(Table6[[#This Row],[Revenue ($bn)]],Table6[Revenue ($bn)])</f>
        <v>1</v>
      </c>
    </row>
    <row r="3" spans="1:5">
      <c r="A3" t="s">
        <v>754</v>
      </c>
      <c r="B3" s="8" t="s">
        <v>335</v>
      </c>
      <c r="C3" s="8" t="s">
        <v>246</v>
      </c>
      <c r="D3" s="10">
        <v>408</v>
      </c>
      <c r="E3">
        <f>_xlfn.RANK.AVG(Table6[[#This Row],[Revenue ($bn)]],Table6[Revenue ($bn)])</f>
        <v>2</v>
      </c>
    </row>
    <row r="4" spans="1:5">
      <c r="A4" t="s">
        <v>754</v>
      </c>
      <c r="B4" s="8" t="s">
        <v>336</v>
      </c>
      <c r="C4" s="8" t="s">
        <v>246</v>
      </c>
      <c r="D4" s="10">
        <v>403</v>
      </c>
      <c r="E4">
        <f>_xlfn.RANK.AVG(Table6[[#This Row],[Revenue ($bn)]],Table6[Revenue ($bn)])</f>
        <v>3</v>
      </c>
    </row>
    <row r="5" spans="1:5">
      <c r="A5" t="s">
        <v>755</v>
      </c>
      <c r="B5" s="8" t="s">
        <v>270</v>
      </c>
      <c r="C5" s="8" t="s">
        <v>574</v>
      </c>
      <c r="D5" s="10">
        <v>365</v>
      </c>
      <c r="E5">
        <f>_xlfn.RANK.AVG(Table6[[#This Row],[Revenue ($bn)]],Table6[Revenue ($bn)])</f>
        <v>4</v>
      </c>
    </row>
    <row r="6" spans="1:5">
      <c r="A6" t="s">
        <v>755</v>
      </c>
      <c r="B6" s="8" t="s">
        <v>271</v>
      </c>
      <c r="C6" s="8" t="s">
        <v>595</v>
      </c>
      <c r="D6" s="10">
        <v>334</v>
      </c>
      <c r="E6">
        <f>_xlfn.RANK.AVG(Table6[[#This Row],[Revenue ($bn)]],Table6[Revenue ($bn)])</f>
        <v>5</v>
      </c>
    </row>
    <row r="7" spans="1:5">
      <c r="A7" t="s">
        <v>754</v>
      </c>
      <c r="B7" s="8" t="s">
        <v>337</v>
      </c>
      <c r="C7" s="8" t="s">
        <v>246</v>
      </c>
      <c r="D7" s="10">
        <v>329</v>
      </c>
      <c r="E7">
        <f>_xlfn.RANK.AVG(Table6[[#This Row],[Revenue ($bn)]],Table6[Revenue ($bn)])</f>
        <v>6</v>
      </c>
    </row>
    <row r="8" spans="1:5">
      <c r="A8" t="s">
        <v>757</v>
      </c>
      <c r="B8" s="8" t="s">
        <v>303</v>
      </c>
      <c r="C8" s="8" t="s">
        <v>545</v>
      </c>
      <c r="D8" s="10">
        <v>304</v>
      </c>
      <c r="E8">
        <f>_xlfn.RANK.AVG(Table6[[#This Row],[Revenue ($bn)]],Table6[Revenue ($bn)])</f>
        <v>7</v>
      </c>
    </row>
    <row r="9" spans="1:5">
      <c r="A9" t="s">
        <v>754</v>
      </c>
      <c r="B9" s="8" t="s">
        <v>338</v>
      </c>
      <c r="C9" s="8" t="s">
        <v>246</v>
      </c>
      <c r="D9" s="10">
        <v>277</v>
      </c>
      <c r="E9">
        <f>_xlfn.RANK.AVG(Table6[[#This Row],[Revenue ($bn)]],Table6[Revenue ($bn)])</f>
        <v>8</v>
      </c>
    </row>
    <row r="10" spans="1:5">
      <c r="A10" t="s">
        <v>756</v>
      </c>
      <c r="B10" s="8" t="s">
        <v>314</v>
      </c>
      <c r="C10" s="8" t="s">
        <v>601</v>
      </c>
      <c r="D10" s="10">
        <v>271</v>
      </c>
      <c r="E10">
        <f>_xlfn.RANK.AVG(Table6[[#This Row],[Revenue ($bn)]],Table6[Revenue ($bn)])</f>
        <v>9</v>
      </c>
    </row>
    <row r="11" spans="1:5">
      <c r="A11" t="s">
        <v>756</v>
      </c>
      <c r="B11" s="8" t="s">
        <v>315</v>
      </c>
      <c r="C11" s="8" t="s">
        <v>246</v>
      </c>
      <c r="D11" s="10">
        <v>253</v>
      </c>
      <c r="E11">
        <f>_xlfn.RANK.AVG(Table6[[#This Row],[Revenue ($bn)]],Table6[Revenue ($bn)])</f>
        <v>10</v>
      </c>
    </row>
    <row r="12" spans="1:5">
      <c r="A12" t="s">
        <v>754</v>
      </c>
      <c r="B12" s="8" t="s">
        <v>339</v>
      </c>
      <c r="C12" s="8" t="s">
        <v>246</v>
      </c>
      <c r="D12" s="10">
        <v>251</v>
      </c>
      <c r="E12">
        <f>_xlfn.RANK.AVG(Table6[[#This Row],[Revenue ($bn)]],Table6[Revenue ($bn)])</f>
        <v>11</v>
      </c>
    </row>
    <row r="13" spans="1:5">
      <c r="A13" t="s">
        <v>759</v>
      </c>
      <c r="B13" s="8" t="s">
        <v>344</v>
      </c>
      <c r="C13" s="8" t="s">
        <v>679</v>
      </c>
      <c r="D13" s="10">
        <v>218</v>
      </c>
      <c r="E13">
        <f>_xlfn.RANK.AVG(Table6[[#This Row],[Revenue ($bn)]],Table6[Revenue ($bn)])</f>
        <v>12</v>
      </c>
    </row>
    <row r="14" spans="1:5">
      <c r="A14" t="s">
        <v>754</v>
      </c>
      <c r="B14" s="8" t="s">
        <v>340</v>
      </c>
      <c r="C14" s="8" t="s">
        <v>246</v>
      </c>
      <c r="D14" s="10">
        <v>201</v>
      </c>
      <c r="E14">
        <f>_xlfn.RANK.AVG(Table6[[#This Row],[Revenue ($bn)]],Table6[Revenue ($bn)])</f>
        <v>13</v>
      </c>
    </row>
    <row r="15" spans="1:5">
      <c r="A15" t="s">
        <v>754</v>
      </c>
      <c r="B15" s="8" t="s">
        <v>341</v>
      </c>
      <c r="C15" s="8" t="s">
        <v>246</v>
      </c>
      <c r="D15" s="10">
        <v>198</v>
      </c>
      <c r="E15">
        <f>_xlfn.RANK.AVG(Table6[[#This Row],[Revenue ($bn)]],Table6[Revenue ($bn)])</f>
        <v>14</v>
      </c>
    </row>
    <row r="16" spans="1:5">
      <c r="A16" t="s">
        <v>755</v>
      </c>
      <c r="B16" s="8" t="s">
        <v>272</v>
      </c>
      <c r="C16" s="8" t="s">
        <v>246</v>
      </c>
      <c r="D16" s="10">
        <v>190</v>
      </c>
      <c r="E16">
        <f>_xlfn.RANK.AVG(Table6[[#This Row],[Revenue ($bn)]],Table6[Revenue ($bn)])</f>
        <v>15</v>
      </c>
    </row>
    <row r="17" spans="1:5">
      <c r="A17" t="s">
        <v>755</v>
      </c>
      <c r="B17" s="8" t="s">
        <v>273</v>
      </c>
      <c r="C17" s="8" t="s">
        <v>246</v>
      </c>
      <c r="D17" s="10">
        <v>186</v>
      </c>
      <c r="E17">
        <f>_xlfn.RANK.AVG(Table6[[#This Row],[Revenue ($bn)]],Table6[Revenue ($bn)])</f>
        <v>16</v>
      </c>
    </row>
    <row r="18" spans="1:5">
      <c r="A18" t="s">
        <v>755</v>
      </c>
      <c r="B18" s="8" t="s">
        <v>274</v>
      </c>
      <c r="C18" s="8" t="s">
        <v>634</v>
      </c>
      <c r="D18" s="10">
        <v>178</v>
      </c>
      <c r="E18">
        <f>_xlfn.RANK.AVG(Table6[[#This Row],[Revenue ($bn)]],Table6[Revenue ($bn)])</f>
        <v>17</v>
      </c>
    </row>
    <row r="19" spans="1:5">
      <c r="A19" t="s">
        <v>757</v>
      </c>
      <c r="B19" s="8" t="s">
        <v>304</v>
      </c>
      <c r="C19" s="8" t="s">
        <v>545</v>
      </c>
      <c r="D19" s="10">
        <v>161</v>
      </c>
      <c r="E19">
        <f>_xlfn.RANK.AVG(Table6[[#This Row],[Revenue ($bn)]],Table6[Revenue ($bn)])</f>
        <v>18</v>
      </c>
    </row>
    <row r="20" spans="1:5">
      <c r="A20" t="s">
        <v>755</v>
      </c>
      <c r="B20" s="8" t="s">
        <v>276</v>
      </c>
      <c r="C20" s="8" t="s">
        <v>574</v>
      </c>
      <c r="D20" s="10">
        <v>152</v>
      </c>
      <c r="E20">
        <f>_xlfn.RANK.AVG(Table6[[#This Row],[Revenue ($bn)]],Table6[Revenue ($bn)])</f>
        <v>19</v>
      </c>
    </row>
    <row r="21" spans="1:5">
      <c r="A21" t="s">
        <v>755</v>
      </c>
      <c r="B21" s="8" t="s">
        <v>277</v>
      </c>
      <c r="C21" s="8" t="s">
        <v>574</v>
      </c>
      <c r="D21" s="10">
        <v>151</v>
      </c>
      <c r="E21">
        <f>_xlfn.RANK.AVG(Table6[[#This Row],[Revenue ($bn)]],Table6[Revenue ($bn)])</f>
        <v>20</v>
      </c>
    </row>
    <row r="22" spans="1:5">
      <c r="A22" t="s">
        <v>757</v>
      </c>
      <c r="B22" s="8" t="s">
        <v>305</v>
      </c>
      <c r="C22" s="8" t="s">
        <v>545</v>
      </c>
      <c r="D22" s="10">
        <v>148</v>
      </c>
      <c r="E22">
        <f>_xlfn.RANK.AVG(Table6[[#This Row],[Revenue ($bn)]],Table6[Revenue ($bn)])</f>
        <v>21</v>
      </c>
    </row>
    <row r="23" spans="1:5">
      <c r="A23" t="s">
        <v>755</v>
      </c>
      <c r="B23" s="8" t="s">
        <v>278</v>
      </c>
      <c r="C23" s="8" t="s">
        <v>595</v>
      </c>
      <c r="D23" s="10">
        <v>144</v>
      </c>
      <c r="E23">
        <f>_xlfn.RANK.AVG(Table6[[#This Row],[Revenue ($bn)]],Table6[Revenue ($bn)])</f>
        <v>22</v>
      </c>
    </row>
    <row r="24" spans="1:5">
      <c r="A24" t="s">
        <v>755</v>
      </c>
      <c r="B24" s="8" t="s">
        <v>279</v>
      </c>
      <c r="C24" s="8" t="s">
        <v>601</v>
      </c>
      <c r="D24" s="10">
        <v>132</v>
      </c>
      <c r="E24">
        <f>_xlfn.RANK.AVG(Table6[[#This Row],[Revenue ($bn)]],Table6[Revenue ($bn)])</f>
        <v>23</v>
      </c>
    </row>
    <row r="25" spans="1:5">
      <c r="A25" t="s">
        <v>756</v>
      </c>
      <c r="B25" s="8" t="s">
        <v>316</v>
      </c>
      <c r="C25" s="8" t="s">
        <v>681</v>
      </c>
      <c r="D25" s="10">
        <v>122</v>
      </c>
      <c r="E25">
        <f>_xlfn.RANK.AVG(Table6[[#This Row],[Revenue ($bn)]],Table6[Revenue ($bn)])</f>
        <v>24</v>
      </c>
    </row>
    <row r="26" spans="1:5">
      <c r="A26" t="s">
        <v>755</v>
      </c>
      <c r="B26" s="8" t="s">
        <v>281</v>
      </c>
      <c r="C26" s="8" t="s">
        <v>545</v>
      </c>
      <c r="D26" s="10">
        <v>107</v>
      </c>
      <c r="E26">
        <f>_xlfn.RANK.AVG(Table6[[#This Row],[Revenue ($bn)]],Table6[Revenue ($bn)])</f>
        <v>25</v>
      </c>
    </row>
    <row r="27" spans="1:5">
      <c r="A27" t="s">
        <v>757</v>
      </c>
      <c r="B27" s="8" t="s">
        <v>306</v>
      </c>
      <c r="C27" s="8" t="s">
        <v>545</v>
      </c>
      <c r="D27" s="10">
        <v>104</v>
      </c>
      <c r="E27">
        <f>_xlfn.RANK.AVG(Table6[[#This Row],[Revenue ($bn)]],Table6[Revenue ($bn)])</f>
        <v>26.5</v>
      </c>
    </row>
    <row r="28" spans="1:5">
      <c r="A28" t="s">
        <v>758</v>
      </c>
      <c r="B28" s="8" t="s">
        <v>325</v>
      </c>
      <c r="C28" s="8" t="s">
        <v>640</v>
      </c>
      <c r="D28" s="10">
        <v>104</v>
      </c>
      <c r="E28">
        <f>_xlfn.RANK.AVG(Table6[[#This Row],[Revenue ($bn)]],Table6[Revenue ($bn)])</f>
        <v>26.5</v>
      </c>
    </row>
    <row r="29" spans="1:5">
      <c r="A29" t="s">
        <v>754</v>
      </c>
      <c r="B29" s="8" t="s">
        <v>342</v>
      </c>
      <c r="C29" s="8" t="s">
        <v>246</v>
      </c>
      <c r="D29" s="10">
        <v>94</v>
      </c>
      <c r="E29">
        <f>_xlfn.RANK.AVG(Table6[[#This Row],[Revenue ($bn)]],Table6[Revenue ($bn)])</f>
        <v>28</v>
      </c>
    </row>
    <row r="30" spans="1:5">
      <c r="A30" t="s">
        <v>756</v>
      </c>
      <c r="B30" s="8" t="s">
        <v>318</v>
      </c>
      <c r="C30" s="8" t="s">
        <v>601</v>
      </c>
      <c r="D30" s="10">
        <v>92</v>
      </c>
      <c r="E30">
        <f>_xlfn.RANK.AVG(Table6[[#This Row],[Revenue ($bn)]],Table6[Revenue ($bn)])</f>
        <v>29</v>
      </c>
    </row>
    <row r="31" spans="1:5">
      <c r="A31" t="s">
        <v>759</v>
      </c>
      <c r="B31" s="8" t="s">
        <v>345</v>
      </c>
      <c r="C31" s="8" t="s">
        <v>545</v>
      </c>
      <c r="D31" s="10">
        <v>91</v>
      </c>
      <c r="E31">
        <f>_xlfn.RANK.AVG(Table6[[#This Row],[Revenue ($bn)]],Table6[Revenue ($bn)])</f>
        <v>30</v>
      </c>
    </row>
    <row r="32" spans="1:5">
      <c r="A32" t="s">
        <v>756</v>
      </c>
      <c r="B32" s="8" t="s">
        <v>319</v>
      </c>
      <c r="C32" s="8" t="s">
        <v>246</v>
      </c>
      <c r="D32" s="10">
        <v>90</v>
      </c>
      <c r="E32">
        <f>_xlfn.RANK.AVG(Table6[[#This Row],[Revenue ($bn)]],Table6[Revenue ($bn)])</f>
        <v>31</v>
      </c>
    </row>
    <row r="33" spans="1:5">
      <c r="A33" t="s">
        <v>760</v>
      </c>
      <c r="B33" s="8" t="s">
        <v>245</v>
      </c>
      <c r="C33" s="8" t="s">
        <v>246</v>
      </c>
      <c r="D33" s="10">
        <v>88.6</v>
      </c>
      <c r="E33">
        <f>_xlfn.RANK.AVG(Table6[[#This Row],[Revenue ($bn)]],Table6[Revenue ($bn)])</f>
        <v>32</v>
      </c>
    </row>
    <row r="34" spans="1:5">
      <c r="A34" t="s">
        <v>758</v>
      </c>
      <c r="B34" s="8" t="s">
        <v>326</v>
      </c>
      <c r="C34" s="8" t="s">
        <v>574</v>
      </c>
      <c r="D34" s="10">
        <v>88</v>
      </c>
      <c r="E34">
        <f>_xlfn.RANK.AVG(Table6[[#This Row],[Revenue ($bn)]],Table6[Revenue ($bn)])</f>
        <v>33</v>
      </c>
    </row>
    <row r="35" spans="1:5">
      <c r="A35" t="s">
        <v>758</v>
      </c>
      <c r="B35" s="8" t="s">
        <v>327</v>
      </c>
      <c r="C35" s="8" t="s">
        <v>570</v>
      </c>
      <c r="D35" s="10">
        <v>85</v>
      </c>
      <c r="E35">
        <f>_xlfn.RANK.AVG(Table6[[#This Row],[Revenue ($bn)]],Table6[Revenue ($bn)])</f>
        <v>34</v>
      </c>
    </row>
    <row r="36" spans="1:5">
      <c r="A36" t="s">
        <v>760</v>
      </c>
      <c r="B36" s="8" t="s">
        <v>247</v>
      </c>
      <c r="C36" s="8" t="s">
        <v>246</v>
      </c>
      <c r="D36" s="10">
        <v>80</v>
      </c>
      <c r="E36">
        <f>_xlfn.RANK.AVG(Table6[[#This Row],[Revenue ($bn)]],Table6[Revenue ($bn)])</f>
        <v>35</v>
      </c>
    </row>
    <row r="37" spans="1:5">
      <c r="A37" t="s">
        <v>760</v>
      </c>
      <c r="B37" s="8" t="s">
        <v>248</v>
      </c>
      <c r="C37" s="8" t="s">
        <v>570</v>
      </c>
      <c r="D37" s="10">
        <v>77</v>
      </c>
      <c r="E37">
        <f>_xlfn.RANK.AVG(Table6[[#This Row],[Revenue ($bn)]],Table6[Revenue ($bn)])</f>
        <v>36</v>
      </c>
    </row>
    <row r="38" spans="1:5">
      <c r="A38" t="s">
        <v>757</v>
      </c>
      <c r="B38" s="8" t="s">
        <v>307</v>
      </c>
      <c r="C38" s="8" t="s">
        <v>570</v>
      </c>
      <c r="D38" s="10">
        <v>76</v>
      </c>
      <c r="E38">
        <f>_xlfn.RANK.AVG(Table6[[#This Row],[Revenue ($bn)]],Table6[Revenue ($bn)])</f>
        <v>38</v>
      </c>
    </row>
    <row r="39" spans="1:5">
      <c r="A39" t="s">
        <v>758</v>
      </c>
      <c r="B39" s="8" t="s">
        <v>328</v>
      </c>
      <c r="C39" s="8" t="s">
        <v>574</v>
      </c>
      <c r="D39" s="10">
        <v>76</v>
      </c>
      <c r="E39">
        <f>_xlfn.RANK.AVG(Table6[[#This Row],[Revenue ($bn)]],Table6[Revenue ($bn)])</f>
        <v>38</v>
      </c>
    </row>
    <row r="40" spans="1:5">
      <c r="A40" t="s">
        <v>754</v>
      </c>
      <c r="B40" s="8" t="s">
        <v>343</v>
      </c>
      <c r="C40" s="8" t="s">
        <v>246</v>
      </c>
      <c r="D40" s="10">
        <v>76</v>
      </c>
      <c r="E40">
        <f>_xlfn.RANK.AVG(Table6[[#This Row],[Revenue ($bn)]],Table6[Revenue ($bn)])</f>
        <v>38</v>
      </c>
    </row>
    <row r="41" spans="1:5">
      <c r="A41" t="s">
        <v>760</v>
      </c>
      <c r="B41" s="8" t="s">
        <v>249</v>
      </c>
      <c r="C41" s="8" t="s">
        <v>246</v>
      </c>
      <c r="D41" s="10">
        <v>75</v>
      </c>
      <c r="E41">
        <f>_xlfn.RANK.AVG(Table6[[#This Row],[Revenue ($bn)]],Table6[Revenue ($bn)])</f>
        <v>41</v>
      </c>
    </row>
    <row r="42" spans="1:5">
      <c r="A42" t="s">
        <v>756</v>
      </c>
      <c r="B42" s="8" t="s">
        <v>320</v>
      </c>
      <c r="C42" s="8" t="s">
        <v>246</v>
      </c>
      <c r="D42" s="10">
        <v>75</v>
      </c>
      <c r="E42">
        <f>_xlfn.RANK.AVG(Table6[[#This Row],[Revenue ($bn)]],Table6[Revenue ($bn)])</f>
        <v>41</v>
      </c>
    </row>
    <row r="43" spans="1:5">
      <c r="A43" t="s">
        <v>758</v>
      </c>
      <c r="B43" s="8" t="s">
        <v>329</v>
      </c>
      <c r="C43" s="8" t="s">
        <v>593</v>
      </c>
      <c r="D43" s="10">
        <v>75</v>
      </c>
      <c r="E43">
        <f>_xlfn.RANK.AVG(Table6[[#This Row],[Revenue ($bn)]],Table6[Revenue ($bn)])</f>
        <v>41</v>
      </c>
    </row>
    <row r="44" spans="1:5">
      <c r="A44" t="s">
        <v>759</v>
      </c>
      <c r="B44" s="8" t="s">
        <v>346</v>
      </c>
      <c r="C44" s="8" t="s">
        <v>545</v>
      </c>
      <c r="D44" s="10">
        <v>73</v>
      </c>
      <c r="E44">
        <f>_xlfn.RANK.AVG(Table6[[#This Row],[Revenue ($bn)]],Table6[Revenue ($bn)])</f>
        <v>43</v>
      </c>
    </row>
    <row r="45" spans="1:5">
      <c r="A45" t="s">
        <v>761</v>
      </c>
      <c r="B45" s="8" t="s">
        <v>282</v>
      </c>
      <c r="C45" s="8" t="s">
        <v>574</v>
      </c>
      <c r="D45" s="10">
        <v>71</v>
      </c>
      <c r="E45">
        <f>_xlfn.RANK.AVG(Table6[[#This Row],[Revenue ($bn)]],Table6[Revenue ($bn)])</f>
        <v>44</v>
      </c>
    </row>
    <row r="46" spans="1:5">
      <c r="A46" t="s">
        <v>758</v>
      </c>
      <c r="B46" s="8" t="s">
        <v>331</v>
      </c>
      <c r="C46" s="8" t="s">
        <v>601</v>
      </c>
      <c r="D46" s="10">
        <v>68</v>
      </c>
      <c r="E46">
        <f>_xlfn.RANK.AVG(Table6[[#This Row],[Revenue ($bn)]],Table6[Revenue ($bn)])</f>
        <v>45</v>
      </c>
    </row>
    <row r="47" spans="1:5">
      <c r="A47" t="s">
        <v>762</v>
      </c>
      <c r="B47" s="8" t="s">
        <v>292</v>
      </c>
      <c r="C47" s="8" t="s">
        <v>674</v>
      </c>
      <c r="D47" s="10">
        <v>64</v>
      </c>
      <c r="E47">
        <f>_xlfn.RANK.AVG(Table6[[#This Row],[Revenue ($bn)]],Table6[Revenue ($bn)])</f>
        <v>47</v>
      </c>
    </row>
    <row r="48" spans="1:5">
      <c r="A48" t="s">
        <v>762</v>
      </c>
      <c r="B48" s="8" t="s">
        <v>297</v>
      </c>
      <c r="C48" s="8" t="s">
        <v>545</v>
      </c>
      <c r="D48" s="10">
        <v>64</v>
      </c>
      <c r="E48">
        <f>_xlfn.RANK.AVG(Table6[[#This Row],[Revenue ($bn)]],Table6[Revenue ($bn)])</f>
        <v>47</v>
      </c>
    </row>
    <row r="49" spans="1:5">
      <c r="A49" t="s">
        <v>758</v>
      </c>
      <c r="B49" s="8" t="s">
        <v>297</v>
      </c>
      <c r="C49" s="8" t="s">
        <v>545</v>
      </c>
      <c r="D49" s="10">
        <v>64</v>
      </c>
      <c r="E49">
        <f>_xlfn.RANK.AVG(Table6[[#This Row],[Revenue ($bn)]],Table6[Revenue ($bn)])</f>
        <v>47</v>
      </c>
    </row>
    <row r="50" spans="1:5">
      <c r="A50" t="s">
        <v>757</v>
      </c>
      <c r="B50" s="8" t="s">
        <v>308</v>
      </c>
      <c r="C50" s="8" t="s">
        <v>570</v>
      </c>
      <c r="D50" s="10">
        <v>61</v>
      </c>
      <c r="E50">
        <f>_xlfn.RANK.AVG(Table6[[#This Row],[Revenue ($bn)]],Table6[Revenue ($bn)])</f>
        <v>49</v>
      </c>
    </row>
    <row r="51" spans="1:5">
      <c r="A51" t="s">
        <v>759</v>
      </c>
      <c r="B51" s="8" t="s">
        <v>347</v>
      </c>
      <c r="C51" s="8" t="s">
        <v>545</v>
      </c>
      <c r="D51" s="10">
        <v>57</v>
      </c>
      <c r="E51">
        <f>_xlfn.RANK.AVG(Table6[[#This Row],[Revenue ($bn)]],Table6[Revenue ($bn)])</f>
        <v>50</v>
      </c>
    </row>
    <row r="52" spans="1:5">
      <c r="A52" t="s">
        <v>757</v>
      </c>
      <c r="B52" s="8" t="s">
        <v>309</v>
      </c>
      <c r="C52" s="8" t="s">
        <v>674</v>
      </c>
      <c r="D52" s="10">
        <v>56</v>
      </c>
      <c r="E52">
        <f>_xlfn.RANK.AVG(Table6[[#This Row],[Revenue ($bn)]],Table6[Revenue ($bn)])</f>
        <v>51</v>
      </c>
    </row>
    <row r="53" spans="1:5">
      <c r="A53" t="s">
        <v>756</v>
      </c>
      <c r="B53" s="8" t="s">
        <v>321</v>
      </c>
      <c r="C53" s="8" t="s">
        <v>246</v>
      </c>
      <c r="D53" s="10">
        <v>54</v>
      </c>
      <c r="E53">
        <f>_xlfn.RANK.AVG(Table6[[#This Row],[Revenue ($bn)]],Table6[Revenue ($bn)])</f>
        <v>52.5</v>
      </c>
    </row>
    <row r="54" spans="1:5">
      <c r="A54" t="s">
        <v>759</v>
      </c>
      <c r="B54" s="8" t="s">
        <v>348</v>
      </c>
      <c r="C54" s="8" t="s">
        <v>518</v>
      </c>
      <c r="D54" s="10">
        <v>54</v>
      </c>
      <c r="E54">
        <f>_xlfn.RANK.AVG(Table6[[#This Row],[Revenue ($bn)]],Table6[Revenue ($bn)])</f>
        <v>52.5</v>
      </c>
    </row>
    <row r="55" spans="1:5">
      <c r="A55" t="s">
        <v>761</v>
      </c>
      <c r="B55" s="8" t="s">
        <v>283</v>
      </c>
      <c r="C55" s="8" t="s">
        <v>574</v>
      </c>
      <c r="D55" s="10">
        <v>53</v>
      </c>
      <c r="E55">
        <f>_xlfn.RANK.AVG(Table6[[#This Row],[Revenue ($bn)]],Table6[Revenue ($bn)])</f>
        <v>54</v>
      </c>
    </row>
    <row r="56" spans="1:5">
      <c r="A56" t="s">
        <v>758</v>
      </c>
      <c r="B56" s="8" t="s">
        <v>292</v>
      </c>
      <c r="C56" s="8" t="s">
        <v>674</v>
      </c>
      <c r="D56" s="10">
        <v>51</v>
      </c>
      <c r="E56">
        <f>_xlfn.RANK.AVG(Table6[[#This Row],[Revenue ($bn)]],Table6[Revenue ($bn)])</f>
        <v>55</v>
      </c>
    </row>
    <row r="57" spans="1:5">
      <c r="A57" t="s">
        <v>759</v>
      </c>
      <c r="B57" s="8" t="s">
        <v>349</v>
      </c>
      <c r="C57" s="8" t="s">
        <v>545</v>
      </c>
      <c r="D57" s="10">
        <v>50</v>
      </c>
      <c r="E57">
        <f>_xlfn.RANK.AVG(Table6[[#This Row],[Revenue ($bn)]],Table6[Revenue ($bn)])</f>
        <v>56</v>
      </c>
    </row>
    <row r="58" spans="1:5">
      <c r="A58" t="s">
        <v>757</v>
      </c>
      <c r="B58" s="8" t="s">
        <v>310</v>
      </c>
      <c r="C58" s="8" t="s">
        <v>690</v>
      </c>
      <c r="D58" s="10">
        <v>48</v>
      </c>
      <c r="E58">
        <f>_xlfn.RANK.AVG(Table6[[#This Row],[Revenue ($bn)]],Table6[Revenue ($bn)])</f>
        <v>57</v>
      </c>
    </row>
    <row r="59" spans="1:5">
      <c r="A59" t="s">
        <v>758</v>
      </c>
      <c r="B59" s="8" t="s">
        <v>332</v>
      </c>
      <c r="C59" s="8" t="s">
        <v>595</v>
      </c>
      <c r="D59" s="10">
        <v>47</v>
      </c>
      <c r="E59">
        <f>_xlfn.RANK.AVG(Table6[[#This Row],[Revenue ($bn)]],Table6[Revenue ($bn)])</f>
        <v>58.5</v>
      </c>
    </row>
    <row r="60" spans="1:5">
      <c r="A60" t="s">
        <v>758</v>
      </c>
      <c r="B60" s="8" t="s">
        <v>333</v>
      </c>
      <c r="C60" s="8" t="s">
        <v>574</v>
      </c>
      <c r="D60" s="10">
        <v>47</v>
      </c>
      <c r="E60">
        <f>_xlfn.RANK.AVG(Table6[[#This Row],[Revenue ($bn)]],Table6[Revenue ($bn)])</f>
        <v>58.5</v>
      </c>
    </row>
    <row r="61" spans="1:5">
      <c r="A61" t="s">
        <v>756</v>
      </c>
      <c r="B61" s="8" t="s">
        <v>322</v>
      </c>
      <c r="C61" s="8" t="s">
        <v>246</v>
      </c>
      <c r="D61" s="10">
        <v>44</v>
      </c>
      <c r="E61">
        <f>_xlfn.RANK.AVG(Table6[[#This Row],[Revenue ($bn)]],Table6[Revenue ($bn)])</f>
        <v>60.5</v>
      </c>
    </row>
    <row r="62" spans="1:5">
      <c r="A62" t="s">
        <v>759</v>
      </c>
      <c r="B62" s="8" t="s">
        <v>350</v>
      </c>
      <c r="C62" s="8" t="s">
        <v>612</v>
      </c>
      <c r="D62" s="10">
        <v>44</v>
      </c>
      <c r="E62">
        <f>_xlfn.RANK.AVG(Table6[[#This Row],[Revenue ($bn)]],Table6[Revenue ($bn)])</f>
        <v>60.5</v>
      </c>
    </row>
    <row r="63" spans="1:5">
      <c r="A63" t="s">
        <v>760</v>
      </c>
      <c r="B63" s="8" t="s">
        <v>250</v>
      </c>
      <c r="C63" s="8" t="s">
        <v>246</v>
      </c>
      <c r="D63" s="10">
        <v>42</v>
      </c>
      <c r="E63">
        <f>_xlfn.RANK.AVG(Table6[[#This Row],[Revenue ($bn)]],Table6[Revenue ($bn)])</f>
        <v>62.5</v>
      </c>
    </row>
    <row r="64" spans="1:5">
      <c r="A64" t="s">
        <v>760</v>
      </c>
      <c r="B64" s="8" t="s">
        <v>251</v>
      </c>
      <c r="C64" s="8" t="s">
        <v>246</v>
      </c>
      <c r="D64" s="10">
        <v>42</v>
      </c>
      <c r="E64">
        <f>_xlfn.RANK.AVG(Table6[[#This Row],[Revenue ($bn)]],Table6[Revenue ($bn)])</f>
        <v>62.5</v>
      </c>
    </row>
    <row r="65" spans="1:5">
      <c r="A65" t="s">
        <v>756</v>
      </c>
      <c r="B65" s="8" t="s">
        <v>323</v>
      </c>
      <c r="C65" s="8" t="s">
        <v>634</v>
      </c>
      <c r="D65" s="10">
        <v>41</v>
      </c>
      <c r="E65">
        <f>_xlfn.RANK.AVG(Table6[[#This Row],[Revenue ($bn)]],Table6[Revenue ($bn)])</f>
        <v>64</v>
      </c>
    </row>
    <row r="66" spans="1:5">
      <c r="A66" t="s">
        <v>761</v>
      </c>
      <c r="B66" s="8" t="s">
        <v>284</v>
      </c>
      <c r="C66" s="8" t="s">
        <v>246</v>
      </c>
      <c r="D66" s="10">
        <v>39</v>
      </c>
      <c r="E66">
        <f>_xlfn.RANK.AVG(Table6[[#This Row],[Revenue ($bn)]],Table6[Revenue ($bn)])</f>
        <v>65</v>
      </c>
    </row>
    <row r="67" spans="1:5">
      <c r="A67" t="s">
        <v>759</v>
      </c>
      <c r="B67" s="8" t="s">
        <v>352</v>
      </c>
      <c r="C67" s="8" t="s">
        <v>533</v>
      </c>
      <c r="D67" s="10">
        <v>38</v>
      </c>
      <c r="E67">
        <f>_xlfn.RANK.AVG(Table6[[#This Row],[Revenue ($bn)]],Table6[Revenue ($bn)])</f>
        <v>66.5</v>
      </c>
    </row>
    <row r="68" spans="1:5">
      <c r="A68" t="s">
        <v>759</v>
      </c>
      <c r="B68" s="8" t="s">
        <v>258</v>
      </c>
      <c r="C68" s="8" t="s">
        <v>541</v>
      </c>
      <c r="D68" s="10">
        <v>38</v>
      </c>
      <c r="E68">
        <f>_xlfn.RANK.AVG(Table6[[#This Row],[Revenue ($bn)]],Table6[Revenue ($bn)])</f>
        <v>66.5</v>
      </c>
    </row>
    <row r="69" spans="1:5">
      <c r="A69" t="s">
        <v>760</v>
      </c>
      <c r="B69" s="8" t="s">
        <v>252</v>
      </c>
      <c r="C69" s="8" t="s">
        <v>696</v>
      </c>
      <c r="D69" s="10">
        <v>37</v>
      </c>
      <c r="E69">
        <f>_xlfn.RANK.AVG(Table6[[#This Row],[Revenue ($bn)]],Table6[Revenue ($bn)])</f>
        <v>69</v>
      </c>
    </row>
    <row r="70" spans="1:5">
      <c r="A70" t="s">
        <v>756</v>
      </c>
      <c r="B70" s="8" t="s">
        <v>324</v>
      </c>
      <c r="C70" s="8" t="s">
        <v>246</v>
      </c>
      <c r="D70" s="10">
        <v>37</v>
      </c>
      <c r="E70">
        <f>_xlfn.RANK.AVG(Table6[[#This Row],[Revenue ($bn)]],Table6[Revenue ($bn)])</f>
        <v>69</v>
      </c>
    </row>
    <row r="71" spans="1:5">
      <c r="A71" t="s">
        <v>759</v>
      </c>
      <c r="B71" s="8" t="s">
        <v>353</v>
      </c>
      <c r="C71" s="8" t="s">
        <v>545</v>
      </c>
      <c r="D71" s="10">
        <v>37</v>
      </c>
      <c r="E71">
        <f>_xlfn.RANK.AVG(Table6[[#This Row],[Revenue ($bn)]],Table6[Revenue ($bn)])</f>
        <v>69</v>
      </c>
    </row>
    <row r="72" spans="1:5">
      <c r="A72" t="s">
        <v>762</v>
      </c>
      <c r="B72" s="8" t="s">
        <v>293</v>
      </c>
      <c r="C72" s="8" t="s">
        <v>246</v>
      </c>
      <c r="D72" s="10">
        <v>36</v>
      </c>
      <c r="E72">
        <f>_xlfn.RANK.AVG(Table6[[#This Row],[Revenue ($bn)]],Table6[Revenue ($bn)])</f>
        <v>72</v>
      </c>
    </row>
    <row r="73" spans="1:5">
      <c r="A73" t="s">
        <v>757</v>
      </c>
      <c r="B73" s="8" t="s">
        <v>311</v>
      </c>
      <c r="C73" s="8" t="s">
        <v>574</v>
      </c>
      <c r="D73" s="10">
        <v>36</v>
      </c>
      <c r="E73">
        <f>_xlfn.RANK.AVG(Table6[[#This Row],[Revenue ($bn)]],Table6[Revenue ($bn)])</f>
        <v>72</v>
      </c>
    </row>
    <row r="74" spans="1:5">
      <c r="A74" t="s">
        <v>757</v>
      </c>
      <c r="B74" s="8" t="s">
        <v>312</v>
      </c>
      <c r="C74" s="8" t="s">
        <v>246</v>
      </c>
      <c r="D74" s="10">
        <v>36</v>
      </c>
      <c r="E74">
        <f>_xlfn.RANK.AVG(Table6[[#This Row],[Revenue ($bn)]],Table6[Revenue ($bn)])</f>
        <v>72</v>
      </c>
    </row>
    <row r="75" spans="1:5">
      <c r="A75" t="s">
        <v>761</v>
      </c>
      <c r="B75" s="8" t="s">
        <v>285</v>
      </c>
      <c r="C75" s="8" t="s">
        <v>696</v>
      </c>
      <c r="D75" s="10">
        <v>35</v>
      </c>
      <c r="E75">
        <f>_xlfn.RANK.AVG(Table6[[#This Row],[Revenue ($bn)]],Table6[Revenue ($bn)])</f>
        <v>74</v>
      </c>
    </row>
    <row r="76" spans="1:5">
      <c r="A76" t="s">
        <v>760</v>
      </c>
      <c r="B76" s="8" t="s">
        <v>253</v>
      </c>
      <c r="C76" s="8" t="s">
        <v>570</v>
      </c>
      <c r="D76" s="10">
        <v>32</v>
      </c>
      <c r="E76">
        <f>_xlfn.RANK.AVG(Table6[[#This Row],[Revenue ($bn)]],Table6[Revenue ($bn)])</f>
        <v>76</v>
      </c>
    </row>
    <row r="77" spans="1:5">
      <c r="A77" t="s">
        <v>761</v>
      </c>
      <c r="B77" s="8" t="s">
        <v>286</v>
      </c>
      <c r="C77" s="8" t="s">
        <v>601</v>
      </c>
      <c r="D77" s="10">
        <v>32</v>
      </c>
      <c r="E77">
        <f>_xlfn.RANK.AVG(Table6[[#This Row],[Revenue ($bn)]],Table6[Revenue ($bn)])</f>
        <v>76</v>
      </c>
    </row>
    <row r="78" spans="1:5">
      <c r="A78" t="s">
        <v>761</v>
      </c>
      <c r="B78" s="8" t="s">
        <v>287</v>
      </c>
      <c r="C78" s="8" t="s">
        <v>570</v>
      </c>
      <c r="D78" s="10">
        <v>32</v>
      </c>
      <c r="E78">
        <f>_xlfn.RANK.AVG(Table6[[#This Row],[Revenue ($bn)]],Table6[Revenue ($bn)])</f>
        <v>76</v>
      </c>
    </row>
    <row r="79" spans="1:5">
      <c r="A79" t="s">
        <v>761</v>
      </c>
      <c r="B79" s="8" t="s">
        <v>288</v>
      </c>
      <c r="C79" s="8" t="s">
        <v>595</v>
      </c>
      <c r="D79" s="10">
        <v>30</v>
      </c>
      <c r="E79">
        <f>_xlfn.RANK.AVG(Table6[[#This Row],[Revenue ($bn)]],Table6[Revenue ($bn)])</f>
        <v>78.5</v>
      </c>
    </row>
    <row r="80" spans="1:5">
      <c r="A80" t="s">
        <v>761</v>
      </c>
      <c r="B80" s="8" t="s">
        <v>289</v>
      </c>
      <c r="C80" s="8" t="s">
        <v>246</v>
      </c>
      <c r="D80" s="10">
        <v>30</v>
      </c>
      <c r="E80">
        <f>_xlfn.RANK.AVG(Table6[[#This Row],[Revenue ($bn)]],Table6[Revenue ($bn)])</f>
        <v>78.5</v>
      </c>
    </row>
    <row r="81" spans="1:5">
      <c r="A81" t="s">
        <v>763</v>
      </c>
      <c r="B81" s="8" t="s">
        <v>258</v>
      </c>
      <c r="C81" s="8" t="s">
        <v>541</v>
      </c>
      <c r="D81" s="10">
        <v>29.1</v>
      </c>
      <c r="E81">
        <f>_xlfn.RANK.AVG(Table6[[#This Row],[Revenue ($bn)]],Table6[Revenue ($bn)])</f>
        <v>80</v>
      </c>
    </row>
    <row r="82" spans="1:5">
      <c r="A82" t="s">
        <v>761</v>
      </c>
      <c r="B82" s="8" t="s">
        <v>290</v>
      </c>
      <c r="C82" s="8" t="s">
        <v>662</v>
      </c>
      <c r="D82" s="10">
        <v>29</v>
      </c>
      <c r="E82">
        <f>_xlfn.RANK.AVG(Table6[[#This Row],[Revenue ($bn)]],Table6[Revenue ($bn)])</f>
        <v>81</v>
      </c>
    </row>
    <row r="83" spans="1:5">
      <c r="A83" t="s">
        <v>763</v>
      </c>
      <c r="B83" s="8" t="s">
        <v>259</v>
      </c>
      <c r="C83" s="8" t="s">
        <v>518</v>
      </c>
      <c r="D83" s="10">
        <v>28.7</v>
      </c>
      <c r="E83">
        <f>_xlfn.RANK.AVG(Table6[[#This Row],[Revenue ($bn)]],Table6[Revenue ($bn)])</f>
        <v>82</v>
      </c>
    </row>
    <row r="84" spans="1:5">
      <c r="A84" t="s">
        <v>761</v>
      </c>
      <c r="B84" s="8" t="s">
        <v>291</v>
      </c>
      <c r="C84" s="8" t="s">
        <v>545</v>
      </c>
      <c r="D84" s="10">
        <v>25</v>
      </c>
      <c r="E84">
        <f>_xlfn.RANK.AVG(Table6[[#This Row],[Revenue ($bn)]],Table6[Revenue ($bn)])</f>
        <v>83.5</v>
      </c>
    </row>
    <row r="85" spans="1:5">
      <c r="A85" t="s">
        <v>762</v>
      </c>
      <c r="B85" s="8" t="s">
        <v>294</v>
      </c>
      <c r="C85" s="8" t="s">
        <v>246</v>
      </c>
      <c r="D85" s="10">
        <v>25</v>
      </c>
      <c r="E85">
        <f>_xlfn.RANK.AVG(Table6[[#This Row],[Revenue ($bn)]],Table6[Revenue ($bn)])</f>
        <v>83.5</v>
      </c>
    </row>
    <row r="86" spans="1:5">
      <c r="A86" t="s">
        <v>762</v>
      </c>
      <c r="B86" s="8" t="s">
        <v>298</v>
      </c>
      <c r="C86" s="8" t="s">
        <v>556</v>
      </c>
      <c r="D86" s="10">
        <v>23</v>
      </c>
      <c r="E86">
        <f>_xlfn.RANK.AVG(Table6[[#This Row],[Revenue ($bn)]],Table6[Revenue ($bn)])</f>
        <v>85</v>
      </c>
    </row>
    <row r="87" spans="1:5">
      <c r="A87" t="s">
        <v>760</v>
      </c>
      <c r="B87" s="8" t="s">
        <v>255</v>
      </c>
      <c r="C87" s="8" t="s">
        <v>246</v>
      </c>
      <c r="D87" s="10">
        <v>21</v>
      </c>
      <c r="E87">
        <f>_xlfn.RANK.AVG(Table6[[#This Row],[Revenue ($bn)]],Table6[Revenue ($bn)])</f>
        <v>86</v>
      </c>
    </row>
    <row r="88" spans="1:5">
      <c r="A88" t="s">
        <v>760</v>
      </c>
      <c r="B88" s="8" t="s">
        <v>256</v>
      </c>
      <c r="C88" s="8" t="s">
        <v>246</v>
      </c>
      <c r="D88" s="10">
        <v>15</v>
      </c>
      <c r="E88">
        <f>_xlfn.RANK.AVG(Table6[[#This Row],[Revenue ($bn)]],Table6[Revenue ($bn)])</f>
        <v>87</v>
      </c>
    </row>
    <row r="89" spans="1:5">
      <c r="A89" t="s">
        <v>763</v>
      </c>
      <c r="B89" s="8" t="s">
        <v>265</v>
      </c>
      <c r="C89" s="8" t="s">
        <v>640</v>
      </c>
      <c r="D89" s="10">
        <v>13.9</v>
      </c>
      <c r="E89">
        <f>_xlfn.RANK.AVG(Table6[[#This Row],[Revenue ($bn)]],Table6[Revenue ($bn)])</f>
        <v>88</v>
      </c>
    </row>
    <row r="90" spans="1:5">
      <c r="A90" t="s">
        <v>763</v>
      </c>
      <c r="B90" s="8" t="s">
        <v>260</v>
      </c>
      <c r="C90" s="8" t="s">
        <v>246</v>
      </c>
      <c r="D90" s="10">
        <v>12.8</v>
      </c>
      <c r="E90">
        <f>_xlfn.RANK.AVG(Table6[[#This Row],[Revenue ($bn)]],Table6[Revenue ($bn)])</f>
        <v>89</v>
      </c>
    </row>
    <row r="91" spans="1:5">
      <c r="A91" t="s">
        <v>762</v>
      </c>
      <c r="B91" s="8" t="s">
        <v>295</v>
      </c>
      <c r="C91" s="8" t="s">
        <v>545</v>
      </c>
      <c r="D91" s="10">
        <v>11</v>
      </c>
      <c r="E91">
        <f>_xlfn.RANK.AVG(Table6[[#This Row],[Revenue ($bn)]],Table6[Revenue ($bn)])</f>
        <v>90</v>
      </c>
    </row>
    <row r="92" spans="1:5">
      <c r="A92" t="s">
        <v>762</v>
      </c>
      <c r="B92" s="8" t="s">
        <v>296</v>
      </c>
      <c r="C92" s="8" t="s">
        <v>545</v>
      </c>
      <c r="D92" s="10">
        <v>10</v>
      </c>
      <c r="E92">
        <f>_xlfn.RANK.AVG(Table6[[#This Row],[Revenue ($bn)]],Table6[Revenue ($bn)])</f>
        <v>91</v>
      </c>
    </row>
    <row r="93" spans="1:5">
      <c r="A93" t="s">
        <v>763</v>
      </c>
      <c r="B93" s="8" t="s">
        <v>261</v>
      </c>
      <c r="C93" s="8" t="s">
        <v>628</v>
      </c>
      <c r="D93" s="10">
        <v>9.8000000000000007</v>
      </c>
      <c r="E93">
        <f>_xlfn.RANK.AVG(Table6[[#This Row],[Revenue ($bn)]],Table6[Revenue ($bn)])</f>
        <v>92</v>
      </c>
    </row>
    <row r="94" spans="1:5">
      <c r="A94" t="s">
        <v>762</v>
      </c>
      <c r="B94" s="8" t="s">
        <v>301</v>
      </c>
      <c r="C94" s="8" t="s">
        <v>545</v>
      </c>
      <c r="D94" s="10">
        <v>8</v>
      </c>
      <c r="E94">
        <f>_xlfn.RANK.AVG(Table6[[#This Row],[Revenue ($bn)]],Table6[Revenue ($bn)])</f>
        <v>93</v>
      </c>
    </row>
    <row r="95" spans="1:5">
      <c r="A95" t="s">
        <v>763</v>
      </c>
      <c r="B95" s="8" t="s">
        <v>266</v>
      </c>
      <c r="C95" s="8" t="s">
        <v>679</v>
      </c>
      <c r="D95" s="10">
        <v>7.5</v>
      </c>
      <c r="E95">
        <f>_xlfn.RANK.AVG(Table6[[#This Row],[Revenue ($bn)]],Table6[Revenue ($bn)])</f>
        <v>94</v>
      </c>
    </row>
    <row r="96" spans="1:5">
      <c r="A96" t="s">
        <v>763</v>
      </c>
      <c r="B96" s="8" t="s">
        <v>262</v>
      </c>
      <c r="C96" s="8" t="s">
        <v>592</v>
      </c>
      <c r="D96" s="10">
        <v>7.4</v>
      </c>
      <c r="E96">
        <f>_xlfn.RANK.AVG(Table6[[#This Row],[Revenue ($bn)]],Table6[Revenue ($bn)])</f>
        <v>95.5</v>
      </c>
    </row>
    <row r="97" spans="1:5">
      <c r="A97" t="s">
        <v>763</v>
      </c>
      <c r="B97" s="8" t="s">
        <v>264</v>
      </c>
      <c r="C97" s="8" t="s">
        <v>246</v>
      </c>
      <c r="D97" s="10">
        <v>7.4</v>
      </c>
      <c r="E97">
        <f>_xlfn.RANK.AVG(Table6[[#This Row],[Revenue ($bn)]],Table6[Revenue ($bn)])</f>
        <v>95.5</v>
      </c>
    </row>
    <row r="98" spans="1:5">
      <c r="A98" t="s">
        <v>762</v>
      </c>
      <c r="B98" s="8" t="s">
        <v>300</v>
      </c>
      <c r="C98" s="8" t="s">
        <v>541</v>
      </c>
      <c r="D98" s="10">
        <v>5</v>
      </c>
      <c r="E98">
        <f>_xlfn.RANK.AVG(Table6[[#This Row],[Revenue ($bn)]],Table6[Revenue ($bn)])</f>
        <v>97</v>
      </c>
    </row>
    <row r="99" spans="1:5">
      <c r="A99" t="s">
        <v>763</v>
      </c>
      <c r="B99" s="8" t="s">
        <v>268</v>
      </c>
      <c r="C99" s="8" t="s">
        <v>662</v>
      </c>
      <c r="D99" s="10">
        <v>3.3</v>
      </c>
      <c r="E99">
        <f>_xlfn.RANK.AVG(Table6[[#This Row],[Revenue ($bn)]],Table6[Revenue ($bn)])</f>
        <v>98</v>
      </c>
    </row>
    <row r="100" spans="1:5">
      <c r="A100" t="s">
        <v>763</v>
      </c>
      <c r="B100" s="8" t="s">
        <v>269</v>
      </c>
      <c r="C100" s="8" t="s">
        <v>587</v>
      </c>
      <c r="D100" s="10">
        <v>3</v>
      </c>
      <c r="E100">
        <f>_xlfn.RANK.AVG(Table6[[#This Row],[Revenue ($bn)]],Table6[Revenue ($bn)])</f>
        <v>99.5</v>
      </c>
    </row>
    <row r="101" spans="1:5">
      <c r="A101" t="s">
        <v>762</v>
      </c>
      <c r="B101" s="8" t="s">
        <v>302</v>
      </c>
      <c r="C101" s="8" t="s">
        <v>587</v>
      </c>
      <c r="D101" s="10">
        <v>3</v>
      </c>
      <c r="E101">
        <f>_xlfn.RANK.AVG(Table6[[#This Row],[Revenue ($bn)]],Table6[Revenue ($bn)])</f>
        <v>99.5</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B3959-1D8C-4AB1-B9F1-5A9A7707FF27}">
  <dimension ref="A1:C197"/>
  <sheetViews>
    <sheetView topLeftCell="A58" workbookViewId="0">
      <selection activeCell="I161" sqref="I161"/>
    </sheetView>
  </sheetViews>
  <sheetFormatPr defaultRowHeight="14.4"/>
  <cols>
    <col min="1" max="1" width="9.33203125" customWidth="1"/>
    <col min="3" max="3" width="14.109375" bestFit="1" customWidth="1"/>
  </cols>
  <sheetData>
    <row r="1" spans="1:3">
      <c r="A1" t="s">
        <v>86</v>
      </c>
      <c r="B1" t="s">
        <v>706</v>
      </c>
      <c r="C1" t="s">
        <v>158</v>
      </c>
    </row>
    <row r="2" spans="1:3">
      <c r="A2" t="s">
        <v>375</v>
      </c>
      <c r="B2" t="s">
        <v>509</v>
      </c>
      <c r="C2" t="s">
        <v>155</v>
      </c>
    </row>
    <row r="3" spans="1:3">
      <c r="A3" t="s">
        <v>376</v>
      </c>
      <c r="B3" t="s">
        <v>510</v>
      </c>
      <c r="C3" t="s">
        <v>162</v>
      </c>
    </row>
    <row r="4" spans="1:3">
      <c r="A4" t="s">
        <v>377</v>
      </c>
      <c r="B4" t="s">
        <v>511</v>
      </c>
      <c r="C4" t="s">
        <v>160</v>
      </c>
    </row>
    <row r="5" spans="1:3">
      <c r="A5" t="s">
        <v>378</v>
      </c>
      <c r="B5" t="s">
        <v>512</v>
      </c>
      <c r="C5" t="s">
        <v>162</v>
      </c>
    </row>
    <row r="6" spans="1:3">
      <c r="A6" t="s">
        <v>379</v>
      </c>
      <c r="B6" t="s">
        <v>513</v>
      </c>
      <c r="C6" t="s">
        <v>160</v>
      </c>
    </row>
    <row r="7" spans="1:3">
      <c r="A7" t="s">
        <v>380</v>
      </c>
      <c r="B7" t="s">
        <v>515</v>
      </c>
      <c r="C7" t="s">
        <v>159</v>
      </c>
    </row>
    <row r="8" spans="1:3">
      <c r="A8" t="s">
        <v>100</v>
      </c>
      <c r="B8" t="s">
        <v>516</v>
      </c>
      <c r="C8" t="s">
        <v>161</v>
      </c>
    </row>
    <row r="9" spans="1:3">
      <c r="A9" t="s">
        <v>381</v>
      </c>
      <c r="B9" t="s">
        <v>517</v>
      </c>
      <c r="C9" t="s">
        <v>157</v>
      </c>
    </row>
    <row r="10" spans="1:3">
      <c r="A10" t="s">
        <v>93</v>
      </c>
      <c r="B10" t="s">
        <v>518</v>
      </c>
      <c r="C10" t="s">
        <v>156</v>
      </c>
    </row>
    <row r="11" spans="1:3">
      <c r="A11" t="s">
        <v>382</v>
      </c>
      <c r="B11" t="s">
        <v>519</v>
      </c>
      <c r="C11" t="s">
        <v>162</v>
      </c>
    </row>
    <row r="12" spans="1:3">
      <c r="A12" t="s">
        <v>383</v>
      </c>
      <c r="B12" t="s">
        <v>520</v>
      </c>
      <c r="C12" t="s">
        <v>157</v>
      </c>
    </row>
    <row r="13" spans="1:3">
      <c r="A13" t="s">
        <v>384</v>
      </c>
      <c r="B13" t="s">
        <v>521</v>
      </c>
      <c r="C13" t="s">
        <v>159</v>
      </c>
    </row>
    <row r="14" spans="1:3">
      <c r="A14" t="s">
        <v>385</v>
      </c>
      <c r="B14" t="s">
        <v>522</v>
      </c>
      <c r="C14" t="s">
        <v>155</v>
      </c>
    </row>
    <row r="15" spans="1:3">
      <c r="A15" t="s">
        <v>386</v>
      </c>
      <c r="B15" t="s">
        <v>523</v>
      </c>
      <c r="C15" t="s">
        <v>155</v>
      </c>
    </row>
    <row r="16" spans="1:3">
      <c r="A16" t="s">
        <v>387</v>
      </c>
      <c r="B16" t="s">
        <v>524</v>
      </c>
      <c r="C16" t="s">
        <v>159</v>
      </c>
    </row>
    <row r="17" spans="1:3">
      <c r="A17" t="s">
        <v>101</v>
      </c>
      <c r="B17" t="s">
        <v>525</v>
      </c>
      <c r="C17" t="s">
        <v>162</v>
      </c>
    </row>
    <row r="18" spans="1:3">
      <c r="A18" t="s">
        <v>102</v>
      </c>
      <c r="B18" t="s">
        <v>526</v>
      </c>
      <c r="C18" t="s">
        <v>162</v>
      </c>
    </row>
    <row r="19" spans="1:3">
      <c r="A19" t="s">
        <v>388</v>
      </c>
      <c r="B19" t="s">
        <v>527</v>
      </c>
      <c r="C19" t="s">
        <v>507</v>
      </c>
    </row>
    <row r="20" spans="1:3">
      <c r="A20" t="s">
        <v>389</v>
      </c>
      <c r="B20" t="s">
        <v>528</v>
      </c>
      <c r="C20" t="s">
        <v>160</v>
      </c>
    </row>
    <row r="21" spans="1:3">
      <c r="A21" t="s">
        <v>390</v>
      </c>
      <c r="B21" t="s">
        <v>529</v>
      </c>
      <c r="C21" t="s">
        <v>155</v>
      </c>
    </row>
    <row r="22" spans="1:3">
      <c r="A22" t="s">
        <v>103</v>
      </c>
      <c r="B22" t="s">
        <v>530</v>
      </c>
      <c r="C22" t="s">
        <v>161</v>
      </c>
    </row>
    <row r="23" spans="1:3">
      <c r="A23" t="s">
        <v>391</v>
      </c>
      <c r="B23" t="s">
        <v>531</v>
      </c>
      <c r="C23" t="s">
        <v>162</v>
      </c>
    </row>
    <row r="24" spans="1:3">
      <c r="A24" t="s">
        <v>392</v>
      </c>
      <c r="B24" t="s">
        <v>532</v>
      </c>
      <c r="C24" t="s">
        <v>160</v>
      </c>
    </row>
    <row r="25" spans="1:3">
      <c r="A25" t="s">
        <v>95</v>
      </c>
      <c r="B25" t="s">
        <v>533</v>
      </c>
      <c r="C25" t="s">
        <v>161</v>
      </c>
    </row>
    <row r="26" spans="1:3">
      <c r="A26" t="s">
        <v>393</v>
      </c>
      <c r="B26" t="s">
        <v>534</v>
      </c>
      <c r="C26" t="s">
        <v>155</v>
      </c>
    </row>
    <row r="27" spans="1:3">
      <c r="A27" t="s">
        <v>394</v>
      </c>
      <c r="B27" t="s">
        <v>535</v>
      </c>
      <c r="C27" t="s">
        <v>162</v>
      </c>
    </row>
    <row r="28" spans="1:3">
      <c r="A28" t="s">
        <v>395</v>
      </c>
      <c r="B28" t="s">
        <v>536</v>
      </c>
      <c r="C28" t="s">
        <v>160</v>
      </c>
    </row>
    <row r="29" spans="1:3">
      <c r="A29" t="s">
        <v>396</v>
      </c>
      <c r="B29" t="s">
        <v>537</v>
      </c>
      <c r="C29" t="s">
        <v>160</v>
      </c>
    </row>
    <row r="30" spans="1:3">
      <c r="A30" t="s">
        <v>397</v>
      </c>
      <c r="B30" t="s">
        <v>538</v>
      </c>
      <c r="C30" t="s">
        <v>160</v>
      </c>
    </row>
    <row r="31" spans="1:3">
      <c r="A31" t="s">
        <v>398</v>
      </c>
      <c r="B31" t="s">
        <v>539</v>
      </c>
      <c r="C31" t="s">
        <v>155</v>
      </c>
    </row>
    <row r="32" spans="1:3">
      <c r="A32" t="s">
        <v>399</v>
      </c>
      <c r="B32" t="s">
        <v>540</v>
      </c>
      <c r="C32" t="s">
        <v>160</v>
      </c>
    </row>
    <row r="33" spans="1:3">
      <c r="A33" t="s">
        <v>90</v>
      </c>
      <c r="B33" t="s">
        <v>541</v>
      </c>
      <c r="C33" t="s">
        <v>159</v>
      </c>
    </row>
    <row r="34" spans="1:3">
      <c r="A34" t="s">
        <v>400</v>
      </c>
      <c r="B34" t="s">
        <v>542</v>
      </c>
      <c r="C34" t="s">
        <v>160</v>
      </c>
    </row>
    <row r="35" spans="1:3">
      <c r="A35" t="s">
        <v>401</v>
      </c>
      <c r="B35" t="s">
        <v>543</v>
      </c>
      <c r="C35" t="s">
        <v>160</v>
      </c>
    </row>
    <row r="36" spans="1:3">
      <c r="A36" t="s">
        <v>92</v>
      </c>
      <c r="B36" t="s">
        <v>544</v>
      </c>
      <c r="C36" t="s">
        <v>161</v>
      </c>
    </row>
    <row r="37" spans="1:3">
      <c r="A37" t="s">
        <v>88</v>
      </c>
      <c r="B37" t="s">
        <v>545</v>
      </c>
      <c r="C37" t="s">
        <v>155</v>
      </c>
    </row>
    <row r="38" spans="1:3">
      <c r="A38" t="s">
        <v>402</v>
      </c>
      <c r="B38" t="s">
        <v>546</v>
      </c>
      <c r="C38" t="s">
        <v>161</v>
      </c>
    </row>
    <row r="39" spans="1:3">
      <c r="A39" t="s">
        <v>403</v>
      </c>
      <c r="B39" t="s">
        <v>547</v>
      </c>
      <c r="C39" t="s">
        <v>160</v>
      </c>
    </row>
    <row r="40" spans="1:3">
      <c r="A40" t="s">
        <v>508</v>
      </c>
      <c r="B40" t="s">
        <v>549</v>
      </c>
      <c r="C40" t="s">
        <v>160</v>
      </c>
    </row>
    <row r="41" spans="1:3">
      <c r="A41" t="s">
        <v>98</v>
      </c>
      <c r="B41" t="s">
        <v>548</v>
      </c>
      <c r="C41" t="s">
        <v>160</v>
      </c>
    </row>
    <row r="42" spans="1:3">
      <c r="A42" t="s">
        <v>404</v>
      </c>
      <c r="B42" t="s">
        <v>550</v>
      </c>
      <c r="C42" t="s">
        <v>507</v>
      </c>
    </row>
    <row r="43" spans="1:3">
      <c r="A43" t="s">
        <v>405</v>
      </c>
      <c r="B43" t="s">
        <v>551</v>
      </c>
      <c r="C43" t="s">
        <v>160</v>
      </c>
    </row>
    <row r="44" spans="1:3">
      <c r="A44" t="s">
        <v>406</v>
      </c>
      <c r="B44" t="s">
        <v>552</v>
      </c>
      <c r="C44" t="s">
        <v>162</v>
      </c>
    </row>
    <row r="45" spans="1:3">
      <c r="A45" t="s">
        <v>104</v>
      </c>
      <c r="B45" t="s">
        <v>553</v>
      </c>
      <c r="C45" t="s">
        <v>159</v>
      </c>
    </row>
    <row r="46" spans="1:3">
      <c r="A46" t="s">
        <v>407</v>
      </c>
      <c r="B46" t="s">
        <v>554</v>
      </c>
      <c r="C46" t="s">
        <v>162</v>
      </c>
    </row>
    <row r="47" spans="1:3">
      <c r="A47" t="s">
        <v>408</v>
      </c>
      <c r="B47" t="s">
        <v>555</v>
      </c>
      <c r="C47" t="s">
        <v>162</v>
      </c>
    </row>
    <row r="48" spans="1:3">
      <c r="A48" t="s">
        <v>299</v>
      </c>
      <c r="B48" t="s">
        <v>556</v>
      </c>
      <c r="C48" t="s">
        <v>162</v>
      </c>
    </row>
    <row r="49" spans="1:3">
      <c r="A49" t="s">
        <v>409</v>
      </c>
      <c r="B49" t="s">
        <v>557</v>
      </c>
      <c r="C49" t="s">
        <v>160</v>
      </c>
    </row>
    <row r="50" spans="1:3">
      <c r="A50" t="s">
        <v>410</v>
      </c>
      <c r="B50" t="s">
        <v>558</v>
      </c>
      <c r="C50" t="s">
        <v>159</v>
      </c>
    </row>
    <row r="51" spans="1:3">
      <c r="A51" t="s">
        <v>411</v>
      </c>
      <c r="B51" t="s">
        <v>559</v>
      </c>
      <c r="C51" t="s">
        <v>159</v>
      </c>
    </row>
    <row r="52" spans="1:3">
      <c r="A52" t="s">
        <v>412</v>
      </c>
      <c r="B52" t="s">
        <v>560</v>
      </c>
      <c r="C52" t="s">
        <v>161</v>
      </c>
    </row>
    <row r="53" spans="1:3">
      <c r="A53" t="s">
        <v>105</v>
      </c>
      <c r="B53" t="s">
        <v>561</v>
      </c>
      <c r="C53" t="s">
        <v>160</v>
      </c>
    </row>
    <row r="54" spans="1:3">
      <c r="A54" t="s">
        <v>413</v>
      </c>
      <c r="B54" t="s">
        <v>562</v>
      </c>
      <c r="C54" t="s">
        <v>507</v>
      </c>
    </row>
    <row r="55" spans="1:3">
      <c r="A55" t="s">
        <v>414</v>
      </c>
      <c r="B55" t="s">
        <v>563</v>
      </c>
      <c r="C55" t="s">
        <v>160</v>
      </c>
    </row>
    <row r="56" spans="1:3">
      <c r="A56" t="s">
        <v>415</v>
      </c>
      <c r="B56" t="s">
        <v>564</v>
      </c>
      <c r="C56" t="s">
        <v>160</v>
      </c>
    </row>
    <row r="57" spans="1:3">
      <c r="A57" t="s">
        <v>416</v>
      </c>
      <c r="B57" t="s">
        <v>565</v>
      </c>
      <c r="C57" t="s">
        <v>162</v>
      </c>
    </row>
    <row r="58" spans="1:3">
      <c r="A58" t="s">
        <v>417</v>
      </c>
      <c r="B58" t="s">
        <v>566</v>
      </c>
      <c r="C58" t="s">
        <v>160</v>
      </c>
    </row>
    <row r="59" spans="1:3">
      <c r="A59" t="s">
        <v>418</v>
      </c>
      <c r="B59" t="s">
        <v>567</v>
      </c>
      <c r="C59" t="s">
        <v>160</v>
      </c>
    </row>
    <row r="60" spans="1:3">
      <c r="A60" t="s">
        <v>419</v>
      </c>
      <c r="B60" t="s">
        <v>568</v>
      </c>
      <c r="C60" t="s">
        <v>156</v>
      </c>
    </row>
    <row r="61" spans="1:3">
      <c r="A61" t="s">
        <v>106</v>
      </c>
      <c r="B61" t="s">
        <v>569</v>
      </c>
      <c r="C61" t="s">
        <v>162</v>
      </c>
    </row>
    <row r="62" spans="1:3">
      <c r="A62" t="s">
        <v>254</v>
      </c>
      <c r="B62" t="s">
        <v>570</v>
      </c>
      <c r="C62" t="s">
        <v>162</v>
      </c>
    </row>
    <row r="63" spans="1:3">
      <c r="A63" t="s">
        <v>107</v>
      </c>
      <c r="B63" t="s">
        <v>571</v>
      </c>
      <c r="C63" t="s">
        <v>160</v>
      </c>
    </row>
    <row r="64" spans="1:3">
      <c r="A64" t="s">
        <v>420</v>
      </c>
      <c r="B64" t="s">
        <v>572</v>
      </c>
      <c r="C64" t="s">
        <v>160</v>
      </c>
    </row>
    <row r="65" spans="1:3">
      <c r="A65" t="s">
        <v>421</v>
      </c>
      <c r="B65" t="s">
        <v>573</v>
      </c>
      <c r="C65" t="s">
        <v>157</v>
      </c>
    </row>
    <row r="66" spans="1:3">
      <c r="A66" t="s">
        <v>108</v>
      </c>
      <c r="B66" t="s">
        <v>574</v>
      </c>
      <c r="C66" t="s">
        <v>162</v>
      </c>
    </row>
    <row r="67" spans="1:3">
      <c r="A67" t="s">
        <v>422</v>
      </c>
      <c r="B67" t="s">
        <v>575</v>
      </c>
      <c r="C67" t="s">
        <v>160</v>
      </c>
    </row>
    <row r="68" spans="1:3">
      <c r="A68" t="s">
        <v>423</v>
      </c>
      <c r="B68" t="s">
        <v>576</v>
      </c>
      <c r="C68" t="s">
        <v>162</v>
      </c>
    </row>
    <row r="69" spans="1:3">
      <c r="A69" t="s">
        <v>99</v>
      </c>
      <c r="B69" t="s">
        <v>577</v>
      </c>
      <c r="C69" t="s">
        <v>162</v>
      </c>
    </row>
    <row r="70" spans="1:3">
      <c r="A70" t="s">
        <v>424</v>
      </c>
      <c r="B70" t="s">
        <v>578</v>
      </c>
      <c r="C70" t="s">
        <v>159</v>
      </c>
    </row>
    <row r="71" spans="1:3">
      <c r="A71" t="s">
        <v>425</v>
      </c>
      <c r="B71" t="s">
        <v>579</v>
      </c>
      <c r="C71" t="s">
        <v>507</v>
      </c>
    </row>
    <row r="72" spans="1:3">
      <c r="A72" t="s">
        <v>87</v>
      </c>
      <c r="B72" t="s">
        <v>580</v>
      </c>
      <c r="C72" t="s">
        <v>160</v>
      </c>
    </row>
    <row r="73" spans="1:3">
      <c r="A73" t="s">
        <v>426</v>
      </c>
      <c r="B73" t="s">
        <v>581</v>
      </c>
      <c r="C73" t="s">
        <v>160</v>
      </c>
    </row>
    <row r="74" spans="1:3">
      <c r="A74" t="s">
        <v>427</v>
      </c>
      <c r="B74" t="s">
        <v>582</v>
      </c>
      <c r="C74" t="s">
        <v>161</v>
      </c>
    </row>
    <row r="75" spans="1:3">
      <c r="A75" t="s">
        <v>428</v>
      </c>
      <c r="B75" t="s">
        <v>583</v>
      </c>
      <c r="C75" t="s">
        <v>159</v>
      </c>
    </row>
    <row r="76" spans="1:3">
      <c r="A76" t="s">
        <v>429</v>
      </c>
      <c r="B76" t="s">
        <v>584</v>
      </c>
      <c r="C76" t="s">
        <v>507</v>
      </c>
    </row>
    <row r="77" spans="1:3">
      <c r="A77" t="s">
        <v>430</v>
      </c>
      <c r="B77" t="s">
        <v>585</v>
      </c>
      <c r="C77" t="s">
        <v>162</v>
      </c>
    </row>
    <row r="78" spans="1:3">
      <c r="A78" t="s">
        <v>431</v>
      </c>
      <c r="B78" t="s">
        <v>586</v>
      </c>
      <c r="C78" t="s">
        <v>162</v>
      </c>
    </row>
    <row r="79" spans="1:3">
      <c r="A79" t="s">
        <v>109</v>
      </c>
      <c r="B79" t="s">
        <v>587</v>
      </c>
      <c r="C79" t="s">
        <v>155</v>
      </c>
    </row>
    <row r="80" spans="1:3">
      <c r="A80" t="s">
        <v>94</v>
      </c>
      <c r="B80" t="s">
        <v>588</v>
      </c>
      <c r="C80" t="s">
        <v>155</v>
      </c>
    </row>
    <row r="81" spans="1:3">
      <c r="A81" t="s">
        <v>432</v>
      </c>
      <c r="B81" t="s">
        <v>589</v>
      </c>
      <c r="C81" t="s">
        <v>155</v>
      </c>
    </row>
    <row r="82" spans="1:3">
      <c r="A82" t="s">
        <v>433</v>
      </c>
      <c r="B82" t="s">
        <v>590</v>
      </c>
      <c r="C82" t="s">
        <v>155</v>
      </c>
    </row>
    <row r="83" spans="1:3">
      <c r="A83" t="s">
        <v>434</v>
      </c>
      <c r="B83" t="s">
        <v>591</v>
      </c>
      <c r="C83" t="s">
        <v>162</v>
      </c>
    </row>
    <row r="84" spans="1:3">
      <c r="A84" t="s">
        <v>263</v>
      </c>
      <c r="B84" t="s">
        <v>592</v>
      </c>
      <c r="C84" t="s">
        <v>155</v>
      </c>
    </row>
    <row r="85" spans="1:3">
      <c r="A85" t="s">
        <v>330</v>
      </c>
      <c r="B85" t="s">
        <v>593</v>
      </c>
      <c r="C85" t="s">
        <v>162</v>
      </c>
    </row>
    <row r="86" spans="1:3">
      <c r="A86" t="s">
        <v>110</v>
      </c>
      <c r="B86" t="s">
        <v>594</v>
      </c>
      <c r="C86" t="s">
        <v>159</v>
      </c>
    </row>
    <row r="87" spans="1:3">
      <c r="A87" t="s">
        <v>111</v>
      </c>
      <c r="B87" t="s">
        <v>595</v>
      </c>
      <c r="C87" t="s">
        <v>155</v>
      </c>
    </row>
    <row r="88" spans="1:3">
      <c r="A88" t="s">
        <v>112</v>
      </c>
      <c r="B88" t="s">
        <v>596</v>
      </c>
      <c r="C88" t="s">
        <v>155</v>
      </c>
    </row>
    <row r="89" spans="1:3">
      <c r="A89" t="s">
        <v>113</v>
      </c>
      <c r="B89" t="s">
        <v>597</v>
      </c>
      <c r="C89" t="s">
        <v>155</v>
      </c>
    </row>
    <row r="90" spans="1:3">
      <c r="A90" t="s">
        <v>435</v>
      </c>
      <c r="B90" t="s">
        <v>598</v>
      </c>
      <c r="C90" t="s">
        <v>160</v>
      </c>
    </row>
    <row r="91" spans="1:3">
      <c r="A91" t="s">
        <v>436</v>
      </c>
      <c r="B91" t="s">
        <v>599</v>
      </c>
      <c r="C91" t="s">
        <v>156</v>
      </c>
    </row>
    <row r="92" spans="1:3">
      <c r="A92" t="s">
        <v>124</v>
      </c>
      <c r="B92" t="s">
        <v>600</v>
      </c>
      <c r="C92" t="s">
        <v>155</v>
      </c>
    </row>
    <row r="93" spans="1:3">
      <c r="A93" t="s">
        <v>280</v>
      </c>
      <c r="B93" t="s">
        <v>601</v>
      </c>
      <c r="C93" t="s">
        <v>155</v>
      </c>
    </row>
    <row r="94" spans="1:3">
      <c r="A94" t="s">
        <v>437</v>
      </c>
      <c r="B94" t="s">
        <v>602</v>
      </c>
      <c r="C94" t="s">
        <v>155</v>
      </c>
    </row>
    <row r="95" spans="1:3">
      <c r="A95" t="s">
        <v>438</v>
      </c>
      <c r="B95" t="s">
        <v>603</v>
      </c>
      <c r="C95" t="s">
        <v>155</v>
      </c>
    </row>
    <row r="96" spans="1:3">
      <c r="A96" t="s">
        <v>439</v>
      </c>
      <c r="B96" t="s">
        <v>604</v>
      </c>
      <c r="C96" t="s">
        <v>155</v>
      </c>
    </row>
    <row r="97" spans="1:3">
      <c r="A97" t="s">
        <v>440</v>
      </c>
      <c r="B97" t="s">
        <v>605</v>
      </c>
      <c r="C97" t="s">
        <v>162</v>
      </c>
    </row>
    <row r="98" spans="1:3">
      <c r="A98" t="s">
        <v>441</v>
      </c>
      <c r="B98" t="s">
        <v>606</v>
      </c>
      <c r="C98" t="s">
        <v>155</v>
      </c>
    </row>
    <row r="99" spans="1:3">
      <c r="A99" t="s">
        <v>442</v>
      </c>
      <c r="B99" t="s">
        <v>607</v>
      </c>
      <c r="C99" t="s">
        <v>160</v>
      </c>
    </row>
    <row r="100" spans="1:3">
      <c r="A100" t="s">
        <v>443</v>
      </c>
      <c r="B100" t="s">
        <v>608</v>
      </c>
      <c r="C100" t="s">
        <v>160</v>
      </c>
    </row>
    <row r="101" spans="1:3">
      <c r="A101" t="s">
        <v>444</v>
      </c>
      <c r="B101" t="s">
        <v>609</v>
      </c>
      <c r="C101" t="s">
        <v>160</v>
      </c>
    </row>
    <row r="102" spans="1:3">
      <c r="A102" t="s">
        <v>445</v>
      </c>
      <c r="B102" t="s">
        <v>610</v>
      </c>
      <c r="C102" t="s">
        <v>162</v>
      </c>
    </row>
    <row r="103" spans="1:3">
      <c r="A103" t="s">
        <v>446</v>
      </c>
      <c r="B103" t="s">
        <v>611</v>
      </c>
      <c r="C103" t="s">
        <v>162</v>
      </c>
    </row>
    <row r="104" spans="1:3">
      <c r="A104" t="s">
        <v>351</v>
      </c>
      <c r="B104" t="s">
        <v>612</v>
      </c>
      <c r="C104" t="s">
        <v>162</v>
      </c>
    </row>
    <row r="105" spans="1:3">
      <c r="A105" t="s">
        <v>114</v>
      </c>
      <c r="B105" t="s">
        <v>613</v>
      </c>
      <c r="C105" t="s">
        <v>160</v>
      </c>
    </row>
    <row r="106" spans="1:3">
      <c r="A106" t="s">
        <v>115</v>
      </c>
      <c r="B106" t="s">
        <v>614</v>
      </c>
      <c r="C106" t="s">
        <v>160</v>
      </c>
    </row>
    <row r="107" spans="1:3">
      <c r="A107" t="s">
        <v>447</v>
      </c>
      <c r="B107" t="s">
        <v>615</v>
      </c>
      <c r="C107" t="s">
        <v>155</v>
      </c>
    </row>
    <row r="108" spans="1:3">
      <c r="A108" t="s">
        <v>448</v>
      </c>
      <c r="B108" t="s">
        <v>616</v>
      </c>
      <c r="C108" t="s">
        <v>155</v>
      </c>
    </row>
    <row r="109" spans="1:3">
      <c r="A109" t="s">
        <v>449</v>
      </c>
      <c r="B109" t="s">
        <v>617</v>
      </c>
      <c r="C109" t="s">
        <v>160</v>
      </c>
    </row>
    <row r="110" spans="1:3">
      <c r="A110" t="s">
        <v>450</v>
      </c>
      <c r="B110" t="s">
        <v>618</v>
      </c>
      <c r="C110" t="s">
        <v>162</v>
      </c>
    </row>
    <row r="111" spans="1:3">
      <c r="A111" t="s">
        <v>451</v>
      </c>
      <c r="B111" t="s">
        <v>619</v>
      </c>
      <c r="C111" t="s">
        <v>156</v>
      </c>
    </row>
    <row r="112" spans="1:3">
      <c r="A112" t="s">
        <v>452</v>
      </c>
      <c r="B112" t="s">
        <v>620</v>
      </c>
      <c r="C112" t="s">
        <v>160</v>
      </c>
    </row>
    <row r="113" spans="1:3">
      <c r="A113" t="s">
        <v>453</v>
      </c>
      <c r="B113" t="s">
        <v>621</v>
      </c>
      <c r="C113" t="s">
        <v>160</v>
      </c>
    </row>
    <row r="114" spans="1:3">
      <c r="A114" t="s">
        <v>116</v>
      </c>
      <c r="B114" t="s">
        <v>622</v>
      </c>
      <c r="C114" t="s">
        <v>159</v>
      </c>
    </row>
    <row r="115" spans="1:3">
      <c r="A115" t="s">
        <v>454</v>
      </c>
      <c r="B115" t="s">
        <v>623</v>
      </c>
      <c r="C115" t="s">
        <v>156</v>
      </c>
    </row>
    <row r="116" spans="1:3">
      <c r="A116" t="s">
        <v>455</v>
      </c>
      <c r="B116" t="s">
        <v>624</v>
      </c>
      <c r="C116" t="s">
        <v>162</v>
      </c>
    </row>
    <row r="117" spans="1:3">
      <c r="A117" t="s">
        <v>456</v>
      </c>
      <c r="B117" t="s">
        <v>625</v>
      </c>
      <c r="C117" t="s">
        <v>162</v>
      </c>
    </row>
    <row r="118" spans="1:3">
      <c r="A118" t="s">
        <v>117</v>
      </c>
      <c r="B118" t="s">
        <v>626</v>
      </c>
      <c r="C118" t="s">
        <v>155</v>
      </c>
    </row>
    <row r="119" spans="1:3">
      <c r="A119" t="s">
        <v>457</v>
      </c>
      <c r="B119" t="s">
        <v>627</v>
      </c>
      <c r="C119" t="s">
        <v>162</v>
      </c>
    </row>
    <row r="120" spans="1:3">
      <c r="A120" t="s">
        <v>118</v>
      </c>
      <c r="B120" t="s">
        <v>628</v>
      </c>
      <c r="C120" t="s">
        <v>160</v>
      </c>
    </row>
    <row r="121" spans="1:3">
      <c r="A121" t="s">
        <v>119</v>
      </c>
      <c r="B121" t="s">
        <v>629</v>
      </c>
      <c r="C121" t="s">
        <v>160</v>
      </c>
    </row>
    <row r="122" spans="1:3">
      <c r="A122" t="s">
        <v>120</v>
      </c>
      <c r="B122" t="s">
        <v>630</v>
      </c>
      <c r="C122" t="s">
        <v>155</v>
      </c>
    </row>
    <row r="123" spans="1:3">
      <c r="A123" t="s">
        <v>121</v>
      </c>
      <c r="B123" t="s">
        <v>631</v>
      </c>
      <c r="C123" t="s">
        <v>160</v>
      </c>
    </row>
    <row r="124" spans="1:3">
      <c r="A124" t="s">
        <v>458</v>
      </c>
      <c r="B124" t="s">
        <v>632</v>
      </c>
      <c r="C124" t="s">
        <v>156</v>
      </c>
    </row>
    <row r="125" spans="1:3">
      <c r="A125" t="s">
        <v>459</v>
      </c>
      <c r="B125" t="s">
        <v>633</v>
      </c>
      <c r="C125" t="s">
        <v>155</v>
      </c>
    </row>
    <row r="126" spans="1:3">
      <c r="A126" t="s">
        <v>275</v>
      </c>
      <c r="B126" t="s">
        <v>634</v>
      </c>
      <c r="C126" t="s">
        <v>162</v>
      </c>
    </row>
    <row r="127" spans="1:3">
      <c r="A127" t="s">
        <v>460</v>
      </c>
      <c r="B127" t="s">
        <v>635</v>
      </c>
      <c r="C127" t="s">
        <v>156</v>
      </c>
    </row>
    <row r="128" spans="1:3">
      <c r="A128" t="s">
        <v>461</v>
      </c>
      <c r="B128" t="s">
        <v>636</v>
      </c>
      <c r="C128" t="s">
        <v>507</v>
      </c>
    </row>
    <row r="129" spans="1:3">
      <c r="A129" t="s">
        <v>122</v>
      </c>
      <c r="B129" t="s">
        <v>637</v>
      </c>
      <c r="C129" t="s">
        <v>160</v>
      </c>
    </row>
    <row r="130" spans="1:3">
      <c r="A130" t="s">
        <v>123</v>
      </c>
      <c r="B130" t="s">
        <v>638</v>
      </c>
      <c r="C130" t="s">
        <v>160</v>
      </c>
    </row>
    <row r="131" spans="1:3">
      <c r="A131" t="s">
        <v>462</v>
      </c>
      <c r="B131" t="s">
        <v>639</v>
      </c>
      <c r="C131" t="s">
        <v>162</v>
      </c>
    </row>
    <row r="132" spans="1:3">
      <c r="A132" t="s">
        <v>125</v>
      </c>
      <c r="B132" t="s">
        <v>640</v>
      </c>
      <c r="C132" t="s">
        <v>162</v>
      </c>
    </row>
    <row r="133" spans="1:3">
      <c r="A133" t="s">
        <v>463</v>
      </c>
      <c r="B133" t="s">
        <v>641</v>
      </c>
      <c r="C133" t="s">
        <v>155</v>
      </c>
    </row>
    <row r="134" spans="1:3">
      <c r="A134" t="s">
        <v>464</v>
      </c>
      <c r="B134" t="s">
        <v>642</v>
      </c>
      <c r="C134" t="s">
        <v>155</v>
      </c>
    </row>
    <row r="135" spans="1:3">
      <c r="A135" t="s">
        <v>465</v>
      </c>
      <c r="B135" t="s">
        <v>643</v>
      </c>
      <c r="C135" t="s">
        <v>156</v>
      </c>
    </row>
    <row r="136" spans="1:3">
      <c r="A136" t="s">
        <v>466</v>
      </c>
      <c r="B136" t="s">
        <v>644</v>
      </c>
      <c r="C136" t="s">
        <v>155</v>
      </c>
    </row>
    <row r="137" spans="1:3">
      <c r="A137" t="s">
        <v>467</v>
      </c>
      <c r="B137" t="s">
        <v>645</v>
      </c>
      <c r="C137" t="s">
        <v>507</v>
      </c>
    </row>
    <row r="138" spans="1:3">
      <c r="A138" t="s">
        <v>468</v>
      </c>
      <c r="B138" t="s">
        <v>646</v>
      </c>
      <c r="C138" t="s">
        <v>156</v>
      </c>
    </row>
    <row r="139" spans="1:3">
      <c r="A139" t="s">
        <v>469</v>
      </c>
      <c r="B139" t="s">
        <v>647</v>
      </c>
      <c r="C139" t="s">
        <v>161</v>
      </c>
    </row>
    <row r="140" spans="1:3">
      <c r="A140" t="s">
        <v>97</v>
      </c>
      <c r="B140" t="s">
        <v>648</v>
      </c>
      <c r="C140" t="s">
        <v>161</v>
      </c>
    </row>
    <row r="141" spans="1:3">
      <c r="A141" t="s">
        <v>126</v>
      </c>
      <c r="B141" t="s">
        <v>649</v>
      </c>
      <c r="C141" t="s">
        <v>155</v>
      </c>
    </row>
    <row r="142" spans="1:3">
      <c r="A142" t="s">
        <v>127</v>
      </c>
      <c r="B142" t="s">
        <v>650</v>
      </c>
      <c r="C142" t="s">
        <v>162</v>
      </c>
    </row>
    <row r="143" spans="1:3">
      <c r="A143" t="s">
        <v>470</v>
      </c>
      <c r="B143" t="s">
        <v>651</v>
      </c>
      <c r="C143" t="s">
        <v>162</v>
      </c>
    </row>
    <row r="144" spans="1:3">
      <c r="A144" t="s">
        <v>471</v>
      </c>
      <c r="B144" t="s">
        <v>652</v>
      </c>
      <c r="C144" t="s">
        <v>155</v>
      </c>
    </row>
    <row r="145" spans="1:3">
      <c r="A145" t="s">
        <v>472</v>
      </c>
      <c r="B145" t="s">
        <v>653</v>
      </c>
      <c r="C145" t="s">
        <v>162</v>
      </c>
    </row>
    <row r="146" spans="1:3">
      <c r="A146" t="s">
        <v>96</v>
      </c>
      <c r="B146" t="s">
        <v>654</v>
      </c>
      <c r="C146" t="s">
        <v>157</v>
      </c>
    </row>
    <row r="147" spans="1:3">
      <c r="A147" t="s">
        <v>128</v>
      </c>
      <c r="B147" t="s">
        <v>655</v>
      </c>
      <c r="C147" t="s">
        <v>160</v>
      </c>
    </row>
    <row r="148" spans="1:3">
      <c r="A148" t="s">
        <v>473</v>
      </c>
      <c r="B148" t="s">
        <v>656</v>
      </c>
      <c r="C148" t="s">
        <v>159</v>
      </c>
    </row>
    <row r="149" spans="1:3">
      <c r="A149" t="s">
        <v>474</v>
      </c>
      <c r="B149" t="s">
        <v>657</v>
      </c>
      <c r="C149" t="s">
        <v>159</v>
      </c>
    </row>
    <row r="150" spans="1:3">
      <c r="A150" t="s">
        <v>475</v>
      </c>
      <c r="B150" t="s">
        <v>658</v>
      </c>
      <c r="C150" t="s">
        <v>159</v>
      </c>
    </row>
    <row r="151" spans="1:3">
      <c r="A151" t="s">
        <v>476</v>
      </c>
      <c r="B151" t="s">
        <v>659</v>
      </c>
      <c r="C151" t="s">
        <v>156</v>
      </c>
    </row>
    <row r="152" spans="1:3">
      <c r="A152" t="s">
        <v>477</v>
      </c>
      <c r="B152" t="s">
        <v>660</v>
      </c>
      <c r="C152" t="s">
        <v>162</v>
      </c>
    </row>
    <row r="153" spans="1:3">
      <c r="A153" t="s">
        <v>478</v>
      </c>
      <c r="B153" t="s">
        <v>661</v>
      </c>
      <c r="C153" t="s">
        <v>160</v>
      </c>
    </row>
    <row r="154" spans="1:3">
      <c r="A154" t="s">
        <v>129</v>
      </c>
      <c r="B154" t="s">
        <v>662</v>
      </c>
      <c r="C154" t="s">
        <v>155</v>
      </c>
    </row>
    <row r="155" spans="1:3">
      <c r="A155" t="s">
        <v>479</v>
      </c>
      <c r="B155" t="s">
        <v>663</v>
      </c>
      <c r="C155" t="s">
        <v>160</v>
      </c>
    </row>
    <row r="156" spans="1:3">
      <c r="A156" t="s">
        <v>480</v>
      </c>
      <c r="B156" t="s">
        <v>664</v>
      </c>
      <c r="C156" t="s">
        <v>162</v>
      </c>
    </row>
    <row r="157" spans="1:3">
      <c r="A157" t="s">
        <v>481</v>
      </c>
      <c r="B157" t="s">
        <v>665</v>
      </c>
      <c r="C157" t="s">
        <v>160</v>
      </c>
    </row>
    <row r="158" spans="1:3">
      <c r="A158" t="s">
        <v>482</v>
      </c>
      <c r="B158" t="s">
        <v>666</v>
      </c>
      <c r="C158" t="s">
        <v>160</v>
      </c>
    </row>
    <row r="159" spans="1:3">
      <c r="A159" t="s">
        <v>483</v>
      </c>
      <c r="B159" t="s">
        <v>667</v>
      </c>
      <c r="C159" t="s">
        <v>155</v>
      </c>
    </row>
    <row r="160" spans="1:3">
      <c r="A160" t="s">
        <v>484</v>
      </c>
      <c r="B160" t="s">
        <v>668</v>
      </c>
      <c r="C160" t="s">
        <v>162</v>
      </c>
    </row>
    <row r="161" spans="1:3">
      <c r="A161" t="s">
        <v>485</v>
      </c>
      <c r="B161" t="s">
        <v>669</v>
      </c>
      <c r="C161" t="s">
        <v>162</v>
      </c>
    </row>
    <row r="162" spans="1:3">
      <c r="A162" t="s">
        <v>486</v>
      </c>
      <c r="B162" t="s">
        <v>670</v>
      </c>
      <c r="C162" t="s">
        <v>156</v>
      </c>
    </row>
    <row r="163" spans="1:3">
      <c r="A163" t="s">
        <v>487</v>
      </c>
      <c r="B163" t="s">
        <v>671</v>
      </c>
      <c r="C163" t="s">
        <v>160</v>
      </c>
    </row>
    <row r="164" spans="1:3">
      <c r="A164" t="s">
        <v>91</v>
      </c>
      <c r="B164" t="s">
        <v>672</v>
      </c>
      <c r="C164" t="s">
        <v>160</v>
      </c>
    </row>
    <row r="165" spans="1:3">
      <c r="A165" t="s">
        <v>488</v>
      </c>
      <c r="B165" t="s">
        <v>673</v>
      </c>
      <c r="C165" t="s">
        <v>160</v>
      </c>
    </row>
    <row r="166" spans="1:3">
      <c r="A166" t="s">
        <v>130</v>
      </c>
      <c r="B166" t="s">
        <v>674</v>
      </c>
      <c r="C166" t="s">
        <v>162</v>
      </c>
    </row>
    <row r="167" spans="1:3">
      <c r="A167" t="s">
        <v>489</v>
      </c>
      <c r="B167" t="s">
        <v>675</v>
      </c>
      <c r="C167" t="s">
        <v>155</v>
      </c>
    </row>
    <row r="168" spans="1:3">
      <c r="A168" t="s">
        <v>490</v>
      </c>
      <c r="B168" t="s">
        <v>676</v>
      </c>
      <c r="C168" t="s">
        <v>160</v>
      </c>
    </row>
    <row r="169" spans="1:3">
      <c r="A169" t="s">
        <v>491</v>
      </c>
      <c r="B169" t="s">
        <v>677</v>
      </c>
      <c r="C169" t="s">
        <v>161</v>
      </c>
    </row>
    <row r="170" spans="1:3">
      <c r="A170" t="s">
        <v>131</v>
      </c>
      <c r="B170" t="s">
        <v>678</v>
      </c>
      <c r="C170" t="s">
        <v>162</v>
      </c>
    </row>
    <row r="171" spans="1:3">
      <c r="A171" t="s">
        <v>267</v>
      </c>
      <c r="B171" t="s">
        <v>679</v>
      </c>
      <c r="C171" t="s">
        <v>162</v>
      </c>
    </row>
    <row r="172" spans="1:3">
      <c r="A172" t="s">
        <v>492</v>
      </c>
      <c r="B172" t="s">
        <v>680</v>
      </c>
      <c r="C172" t="s">
        <v>155</v>
      </c>
    </row>
    <row r="173" spans="1:3">
      <c r="A173" t="s">
        <v>317</v>
      </c>
      <c r="B173" t="s">
        <v>681</v>
      </c>
      <c r="C173" t="s">
        <v>155</v>
      </c>
    </row>
    <row r="174" spans="1:3">
      <c r="A174" t="s">
        <v>132</v>
      </c>
      <c r="B174" t="s">
        <v>682</v>
      </c>
      <c r="C174" t="s">
        <v>155</v>
      </c>
    </row>
    <row r="175" spans="1:3">
      <c r="A175" t="s">
        <v>133</v>
      </c>
      <c r="B175" t="s">
        <v>683</v>
      </c>
      <c r="C175" t="s">
        <v>160</v>
      </c>
    </row>
    <row r="176" spans="1:3">
      <c r="A176" t="s">
        <v>493</v>
      </c>
      <c r="B176" t="s">
        <v>684</v>
      </c>
      <c r="C176" t="s">
        <v>155</v>
      </c>
    </row>
    <row r="177" spans="1:3">
      <c r="A177" t="s">
        <v>494</v>
      </c>
      <c r="B177" t="s">
        <v>685</v>
      </c>
      <c r="C177" t="s">
        <v>155</v>
      </c>
    </row>
    <row r="178" spans="1:3">
      <c r="A178" t="s">
        <v>495</v>
      </c>
      <c r="B178" t="s">
        <v>686</v>
      </c>
      <c r="C178" t="s">
        <v>160</v>
      </c>
    </row>
    <row r="179" spans="1:3">
      <c r="A179" t="s">
        <v>496</v>
      </c>
      <c r="B179" t="s">
        <v>687</v>
      </c>
      <c r="C179" t="s">
        <v>156</v>
      </c>
    </row>
    <row r="180" spans="1:3">
      <c r="A180" t="s">
        <v>497</v>
      </c>
      <c r="B180" t="s">
        <v>688</v>
      </c>
      <c r="C180" t="s">
        <v>159</v>
      </c>
    </row>
    <row r="181" spans="1:3">
      <c r="A181" t="s">
        <v>498</v>
      </c>
      <c r="B181" t="s">
        <v>689</v>
      </c>
      <c r="C181" t="s">
        <v>160</v>
      </c>
    </row>
    <row r="182" spans="1:3">
      <c r="A182" t="s">
        <v>313</v>
      </c>
      <c r="B182" t="s">
        <v>690</v>
      </c>
      <c r="C182" t="s">
        <v>155</v>
      </c>
    </row>
    <row r="183" spans="1:3">
      <c r="A183" t="s">
        <v>499</v>
      </c>
      <c r="B183" t="s">
        <v>691</v>
      </c>
      <c r="C183" t="s">
        <v>155</v>
      </c>
    </row>
    <row r="184" spans="1:3">
      <c r="A184" t="s">
        <v>500</v>
      </c>
      <c r="B184" t="s">
        <v>692</v>
      </c>
      <c r="C184" t="s">
        <v>156</v>
      </c>
    </row>
    <row r="185" spans="1:3">
      <c r="A185" t="s">
        <v>501</v>
      </c>
      <c r="B185" t="s">
        <v>693</v>
      </c>
      <c r="C185" t="s">
        <v>160</v>
      </c>
    </row>
    <row r="186" spans="1:3">
      <c r="A186" t="s">
        <v>134</v>
      </c>
      <c r="B186" t="s">
        <v>694</v>
      </c>
      <c r="C186" t="s">
        <v>162</v>
      </c>
    </row>
    <row r="187" spans="1:3">
      <c r="A187" t="s">
        <v>502</v>
      </c>
      <c r="B187" t="s">
        <v>695</v>
      </c>
      <c r="C187" t="s">
        <v>155</v>
      </c>
    </row>
    <row r="188" spans="1:3">
      <c r="A188" t="s">
        <v>514</v>
      </c>
      <c r="B188" t="s">
        <v>696</v>
      </c>
      <c r="C188" t="s">
        <v>162</v>
      </c>
    </row>
    <row r="189" spans="1:3">
      <c r="A189" t="s">
        <v>89</v>
      </c>
      <c r="B189" t="s">
        <v>246</v>
      </c>
      <c r="C189" t="s">
        <v>159</v>
      </c>
    </row>
    <row r="190" spans="1:3">
      <c r="A190" t="s">
        <v>503</v>
      </c>
      <c r="B190" t="s">
        <v>697</v>
      </c>
      <c r="C190" t="s">
        <v>161</v>
      </c>
    </row>
    <row r="191" spans="1:3">
      <c r="A191" t="s">
        <v>135</v>
      </c>
      <c r="B191" t="s">
        <v>698</v>
      </c>
      <c r="C191" t="s">
        <v>155</v>
      </c>
    </row>
    <row r="192" spans="1:3">
      <c r="A192" t="s">
        <v>504</v>
      </c>
      <c r="B192" t="s">
        <v>699</v>
      </c>
      <c r="C192" t="s">
        <v>156</v>
      </c>
    </row>
    <row r="193" spans="1:3">
      <c r="A193" t="s">
        <v>505</v>
      </c>
      <c r="B193" t="s">
        <v>700</v>
      </c>
      <c r="C193" t="s">
        <v>161</v>
      </c>
    </row>
    <row r="194" spans="1:3">
      <c r="A194" t="s">
        <v>136</v>
      </c>
      <c r="B194" t="s">
        <v>701</v>
      </c>
      <c r="C194" t="s">
        <v>155</v>
      </c>
    </row>
    <row r="195" spans="1:3">
      <c r="A195" t="s">
        <v>506</v>
      </c>
      <c r="B195" t="s">
        <v>702</v>
      </c>
      <c r="C195" t="s">
        <v>155</v>
      </c>
    </row>
    <row r="196" spans="1:3">
      <c r="A196" t="s">
        <v>149</v>
      </c>
      <c r="B196" t="s">
        <v>703</v>
      </c>
      <c r="C196" t="s">
        <v>160</v>
      </c>
    </row>
    <row r="197" spans="1:3">
      <c r="A197" t="s">
        <v>150</v>
      </c>
      <c r="B197" t="s">
        <v>704</v>
      </c>
      <c r="C197" t="s">
        <v>160</v>
      </c>
    </row>
  </sheetData>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B220D-5C19-4B08-9F5F-077CAF3CE022}">
  <dimension ref="A1:B66"/>
  <sheetViews>
    <sheetView topLeftCell="A47" workbookViewId="0">
      <selection activeCell="A66" sqref="A66"/>
    </sheetView>
  </sheetViews>
  <sheetFormatPr defaultRowHeight="14.4"/>
  <cols>
    <col min="1" max="1" width="16.5546875" bestFit="1" customWidth="1"/>
  </cols>
  <sheetData>
    <row r="1" spans="1:2">
      <c r="A1" t="s">
        <v>0</v>
      </c>
      <c r="B1" t="s">
        <v>711</v>
      </c>
    </row>
    <row r="2" spans="1:2">
      <c r="A2" t="s">
        <v>2</v>
      </c>
      <c r="B2" t="s">
        <v>712</v>
      </c>
    </row>
    <row r="3" spans="1:2">
      <c r="A3" t="s">
        <v>819</v>
      </c>
      <c r="B3" t="s">
        <v>712</v>
      </c>
    </row>
    <row r="4" spans="1:2">
      <c r="A4" t="s">
        <v>820</v>
      </c>
      <c r="B4" t="s">
        <v>712</v>
      </c>
    </row>
    <row r="5" spans="1:2">
      <c r="A5" t="s">
        <v>4</v>
      </c>
      <c r="B5" t="s">
        <v>713</v>
      </c>
    </row>
    <row r="6" spans="1:2">
      <c r="A6" t="s">
        <v>5</v>
      </c>
      <c r="B6" t="s">
        <v>714</v>
      </c>
    </row>
    <row r="7" spans="1:2">
      <c r="A7" t="s">
        <v>7</v>
      </c>
      <c r="B7" t="s">
        <v>715</v>
      </c>
    </row>
    <row r="8" spans="1:2">
      <c r="A8" t="s">
        <v>9</v>
      </c>
      <c r="B8" t="s">
        <v>716</v>
      </c>
    </row>
    <row r="9" spans="1:2">
      <c r="A9" t="s">
        <v>11</v>
      </c>
      <c r="B9" t="s">
        <v>717</v>
      </c>
    </row>
    <row r="10" spans="1:2">
      <c r="A10" t="s">
        <v>13</v>
      </c>
      <c r="B10" t="s">
        <v>718</v>
      </c>
    </row>
    <row r="11" spans="1:2">
      <c r="A11" t="s">
        <v>821</v>
      </c>
      <c r="B11" t="s">
        <v>718</v>
      </c>
    </row>
    <row r="12" spans="1:2">
      <c r="A12" t="s">
        <v>14</v>
      </c>
      <c r="B12" t="s">
        <v>719</v>
      </c>
    </row>
    <row r="13" spans="1:2">
      <c r="A13" t="s">
        <v>16</v>
      </c>
      <c r="B13" t="s">
        <v>720</v>
      </c>
    </row>
    <row r="14" spans="1:2">
      <c r="A14" t="s">
        <v>834</v>
      </c>
      <c r="B14" t="s">
        <v>720</v>
      </c>
    </row>
    <row r="15" spans="1:2">
      <c r="A15" t="s">
        <v>17</v>
      </c>
      <c r="B15" t="s">
        <v>721</v>
      </c>
    </row>
    <row r="16" spans="1:2">
      <c r="A16" t="s">
        <v>18</v>
      </c>
      <c r="B16" t="s">
        <v>722</v>
      </c>
    </row>
    <row r="17" spans="1:2">
      <c r="A17" t="s">
        <v>20</v>
      </c>
      <c r="B17" t="s">
        <v>723</v>
      </c>
    </row>
    <row r="18" spans="1:2">
      <c r="A18" t="s">
        <v>137</v>
      </c>
      <c r="B18" t="s">
        <v>724</v>
      </c>
    </row>
    <row r="19" spans="1:2">
      <c r="A19" t="s">
        <v>138</v>
      </c>
      <c r="B19" t="s">
        <v>725</v>
      </c>
    </row>
    <row r="20" spans="1:2">
      <c r="A20" t="s">
        <v>26</v>
      </c>
      <c r="B20" t="s">
        <v>726</v>
      </c>
    </row>
    <row r="21" spans="1:2">
      <c r="A21" t="s">
        <v>826</v>
      </c>
      <c r="B21" t="s">
        <v>726</v>
      </c>
    </row>
    <row r="22" spans="1:2">
      <c r="A22" t="s">
        <v>139</v>
      </c>
      <c r="B22" t="s">
        <v>727</v>
      </c>
    </row>
    <row r="23" spans="1:2">
      <c r="A23" t="s">
        <v>810</v>
      </c>
      <c r="B23" t="s">
        <v>815</v>
      </c>
    </row>
    <row r="24" spans="1:2">
      <c r="A24" t="s">
        <v>140</v>
      </c>
      <c r="B24" t="s">
        <v>587</v>
      </c>
    </row>
    <row r="25" spans="1:2">
      <c r="A25" t="s">
        <v>141</v>
      </c>
      <c r="B25" t="s">
        <v>728</v>
      </c>
    </row>
    <row r="26" spans="1:2">
      <c r="A26" t="s">
        <v>823</v>
      </c>
      <c r="B26" t="s">
        <v>822</v>
      </c>
    </row>
    <row r="27" spans="1:2">
      <c r="A27" t="s">
        <v>818</v>
      </c>
      <c r="B27" t="s">
        <v>816</v>
      </c>
    </row>
    <row r="28" spans="1:2">
      <c r="A28" t="s">
        <v>34</v>
      </c>
      <c r="B28" t="s">
        <v>729</v>
      </c>
    </row>
    <row r="29" spans="1:2">
      <c r="A29" t="s">
        <v>36</v>
      </c>
      <c r="B29" t="s">
        <v>730</v>
      </c>
    </row>
    <row r="30" spans="1:2">
      <c r="A30" t="s">
        <v>38</v>
      </c>
      <c r="B30" t="s">
        <v>731</v>
      </c>
    </row>
    <row r="31" spans="1:2">
      <c r="A31" t="s">
        <v>824</v>
      </c>
      <c r="B31" t="s">
        <v>731</v>
      </c>
    </row>
    <row r="32" spans="1:2">
      <c r="A32" t="s">
        <v>39</v>
      </c>
      <c r="B32" t="s">
        <v>732</v>
      </c>
    </row>
    <row r="33" spans="1:2">
      <c r="A33" t="s">
        <v>41</v>
      </c>
      <c r="B33" t="s">
        <v>625</v>
      </c>
    </row>
    <row r="34" spans="1:2">
      <c r="A34" t="s">
        <v>43</v>
      </c>
      <c r="B34" t="s">
        <v>636</v>
      </c>
    </row>
    <row r="35" spans="1:2">
      <c r="A35" t="s">
        <v>45</v>
      </c>
      <c r="B35" t="s">
        <v>733</v>
      </c>
    </row>
    <row r="36" spans="1:2">
      <c r="A36" t="s">
        <v>142</v>
      </c>
      <c r="B36" t="s">
        <v>734</v>
      </c>
    </row>
    <row r="37" spans="1:2">
      <c r="A37" t="s">
        <v>51</v>
      </c>
      <c r="B37" t="s">
        <v>832</v>
      </c>
    </row>
    <row r="38" spans="1:2">
      <c r="A38" t="s">
        <v>49</v>
      </c>
      <c r="B38" t="s">
        <v>735</v>
      </c>
    </row>
    <row r="39" spans="1:2">
      <c r="A39" t="s">
        <v>827</v>
      </c>
      <c r="B39" t="s">
        <v>735</v>
      </c>
    </row>
    <row r="40" spans="1:2">
      <c r="A40" t="s">
        <v>52</v>
      </c>
      <c r="B40" t="s">
        <v>737</v>
      </c>
    </row>
    <row r="41" spans="1:2">
      <c r="A41" t="s">
        <v>752</v>
      </c>
      <c r="B41" t="s">
        <v>84</v>
      </c>
    </row>
    <row r="42" spans="1:2">
      <c r="A42" t="s">
        <v>828</v>
      </c>
      <c r="B42" t="s">
        <v>84</v>
      </c>
    </row>
    <row r="43" spans="1:2">
      <c r="A43" t="s">
        <v>143</v>
      </c>
      <c r="B43" t="s">
        <v>738</v>
      </c>
    </row>
    <row r="44" spans="1:2">
      <c r="A44" t="s">
        <v>144</v>
      </c>
      <c r="B44" t="s">
        <v>739</v>
      </c>
    </row>
    <row r="45" spans="1:2">
      <c r="A45" t="s">
        <v>145</v>
      </c>
      <c r="B45" t="s">
        <v>740</v>
      </c>
    </row>
    <row r="46" spans="1:2">
      <c r="A46" t="s">
        <v>146</v>
      </c>
      <c r="B46" t="s">
        <v>741</v>
      </c>
    </row>
    <row r="47" spans="1:2">
      <c r="A47" t="s">
        <v>147</v>
      </c>
      <c r="B47" t="s">
        <v>742</v>
      </c>
    </row>
    <row r="48" spans="1:2">
      <c r="A48" t="s">
        <v>812</v>
      </c>
      <c r="B48" t="s">
        <v>813</v>
      </c>
    </row>
    <row r="49" spans="1:2">
      <c r="A49" t="s">
        <v>817</v>
      </c>
      <c r="B49" t="s">
        <v>743</v>
      </c>
    </row>
    <row r="50" spans="1:2">
      <c r="A50" t="s">
        <v>62</v>
      </c>
      <c r="B50" t="s">
        <v>743</v>
      </c>
    </row>
    <row r="51" spans="1:2">
      <c r="A51" t="s">
        <v>829</v>
      </c>
      <c r="B51" t="s">
        <v>743</v>
      </c>
    </row>
    <row r="52" spans="1:2">
      <c r="A52" t="s">
        <v>64</v>
      </c>
      <c r="B52" t="s">
        <v>562</v>
      </c>
    </row>
    <row r="53" spans="1:2">
      <c r="A53" t="s">
        <v>831</v>
      </c>
      <c r="B53" t="s">
        <v>830</v>
      </c>
    </row>
    <row r="54" spans="1:2">
      <c r="A54" t="s">
        <v>811</v>
      </c>
      <c r="B54" t="s">
        <v>814</v>
      </c>
    </row>
    <row r="55" spans="1:2">
      <c r="A55" t="s">
        <v>66</v>
      </c>
      <c r="B55" t="s">
        <v>744</v>
      </c>
    </row>
    <row r="56" spans="1:2">
      <c r="A56" t="s">
        <v>148</v>
      </c>
      <c r="B56" t="s">
        <v>745</v>
      </c>
    </row>
    <row r="57" spans="1:2">
      <c r="A57" t="s">
        <v>70</v>
      </c>
      <c r="B57" t="s">
        <v>746</v>
      </c>
    </row>
    <row r="58" spans="1:2">
      <c r="A58" t="s">
        <v>72</v>
      </c>
      <c r="B58" t="s">
        <v>747</v>
      </c>
    </row>
    <row r="59" spans="1:2">
      <c r="A59" t="s">
        <v>74</v>
      </c>
      <c r="B59" t="s">
        <v>689</v>
      </c>
    </row>
    <row r="60" spans="1:2">
      <c r="A60" t="s">
        <v>76</v>
      </c>
      <c r="B60" t="s">
        <v>748</v>
      </c>
    </row>
    <row r="61" spans="1:2">
      <c r="A61" t="s">
        <v>78</v>
      </c>
      <c r="B61" t="s">
        <v>749</v>
      </c>
    </row>
    <row r="62" spans="1:2">
      <c r="A62" t="s">
        <v>80</v>
      </c>
      <c r="B62" t="s">
        <v>750</v>
      </c>
    </row>
    <row r="63" spans="1:2">
      <c r="A63" t="s">
        <v>82</v>
      </c>
      <c r="B63" t="s">
        <v>751</v>
      </c>
    </row>
    <row r="64" spans="1:2">
      <c r="A64" t="s">
        <v>844</v>
      </c>
      <c r="B64" t="s">
        <v>845</v>
      </c>
    </row>
    <row r="65" spans="1:2">
      <c r="A65" t="s">
        <v>912</v>
      </c>
      <c r="B65" t="s">
        <v>913</v>
      </c>
    </row>
    <row r="66" spans="1:2">
      <c r="A66" t="s">
        <v>910</v>
      </c>
      <c r="B66" t="s">
        <v>911</v>
      </c>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F2084-1642-440A-9D50-9C8E84629C24}">
  <dimension ref="A1:D11"/>
  <sheetViews>
    <sheetView workbookViewId="0">
      <selection activeCell="E16" sqref="E16"/>
    </sheetView>
  </sheetViews>
  <sheetFormatPr defaultRowHeight="14.4"/>
  <cols>
    <col min="1" max="1" width="37.109375" bestFit="1" customWidth="1"/>
    <col min="2" max="2" width="13" customWidth="1"/>
    <col min="4" max="4" width="75.109375" bestFit="1" customWidth="1"/>
  </cols>
  <sheetData>
    <row r="1" spans="1:4">
      <c r="A1" t="s">
        <v>764</v>
      </c>
      <c r="B1" t="s">
        <v>765</v>
      </c>
      <c r="C1" s="18" t="s">
        <v>766</v>
      </c>
      <c r="D1" s="19" t="s">
        <v>364</v>
      </c>
    </row>
    <row r="2" spans="1:4">
      <c r="A2" s="8" t="s">
        <v>237</v>
      </c>
      <c r="B2" s="17" t="s">
        <v>762</v>
      </c>
      <c r="C2" s="20">
        <v>1</v>
      </c>
      <c r="D2" s="21" t="s">
        <v>373</v>
      </c>
    </row>
    <row r="3" spans="1:4">
      <c r="A3" s="8" t="s">
        <v>236</v>
      </c>
      <c r="B3" s="17" t="s">
        <v>756</v>
      </c>
      <c r="C3" s="22">
        <v>0.6</v>
      </c>
      <c r="D3" s="23" t="s">
        <v>367</v>
      </c>
    </row>
    <row r="4" spans="1:4">
      <c r="A4" s="8" t="s">
        <v>241</v>
      </c>
      <c r="B4" s="17" t="s">
        <v>760</v>
      </c>
      <c r="C4" s="20">
        <v>0.2</v>
      </c>
      <c r="D4" s="21" t="s">
        <v>371</v>
      </c>
    </row>
    <row r="5" spans="1:4">
      <c r="A5" s="8" t="s">
        <v>235</v>
      </c>
      <c r="B5" s="17" t="s">
        <v>759</v>
      </c>
      <c r="C5" s="22">
        <v>0.8</v>
      </c>
      <c r="D5" s="23" t="s">
        <v>370</v>
      </c>
    </row>
    <row r="6" spans="1:4">
      <c r="A6" s="8" t="s">
        <v>238</v>
      </c>
      <c r="B6" s="17" t="s">
        <v>761</v>
      </c>
      <c r="C6" s="20">
        <v>0.2</v>
      </c>
      <c r="D6" s="21" t="s">
        <v>372</v>
      </c>
    </row>
    <row r="7" spans="1:4">
      <c r="A7" s="8" t="s">
        <v>239</v>
      </c>
      <c r="B7" s="17" t="s">
        <v>775</v>
      </c>
      <c r="C7" s="22">
        <v>0.4</v>
      </c>
      <c r="D7" s="23" t="s">
        <v>374</v>
      </c>
    </row>
    <row r="8" spans="1:4">
      <c r="A8" t="s">
        <v>257</v>
      </c>
      <c r="B8" s="24" t="s">
        <v>754</v>
      </c>
      <c r="C8" s="20">
        <v>0.2</v>
      </c>
      <c r="D8" s="21" t="s">
        <v>365</v>
      </c>
    </row>
    <row r="9" spans="1:4">
      <c r="A9" s="8" t="s">
        <v>234</v>
      </c>
      <c r="B9" s="17" t="s">
        <v>757</v>
      </c>
      <c r="C9" s="22">
        <v>0.7</v>
      </c>
      <c r="D9" s="23" t="s">
        <v>368</v>
      </c>
    </row>
    <row r="10" spans="1:4">
      <c r="A10" s="8" t="s">
        <v>242</v>
      </c>
      <c r="B10" s="17" t="s">
        <v>758</v>
      </c>
      <c r="C10" s="20">
        <v>0.4</v>
      </c>
      <c r="D10" s="21" t="s">
        <v>369</v>
      </c>
    </row>
    <row r="11" spans="1:4">
      <c r="A11" s="8" t="s">
        <v>240</v>
      </c>
      <c r="B11" s="17" t="s">
        <v>755</v>
      </c>
      <c r="C11" s="22">
        <v>0.3</v>
      </c>
      <c r="D11" s="23" t="s">
        <v>366</v>
      </c>
    </row>
  </sheetData>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CF39E-76E3-4596-81C0-8331BDD3D6FB}">
  <dimension ref="A1:F10"/>
  <sheetViews>
    <sheetView workbookViewId="0">
      <selection activeCell="A10" sqref="A10"/>
    </sheetView>
  </sheetViews>
  <sheetFormatPr defaultRowHeight="14.4"/>
  <sheetData>
    <row r="1" spans="1:6">
      <c r="A1" s="15" t="s">
        <v>705</v>
      </c>
    </row>
    <row r="2" spans="1:6">
      <c r="A2" s="15" t="s">
        <v>707</v>
      </c>
    </row>
    <row r="3" spans="1:6">
      <c r="A3" s="15" t="s">
        <v>708</v>
      </c>
    </row>
    <row r="4" spans="1:6">
      <c r="A4" s="15" t="s">
        <v>833</v>
      </c>
    </row>
    <row r="5" spans="1:6" ht="16.2">
      <c r="A5" s="15" t="s">
        <v>840</v>
      </c>
      <c r="F5" s="25" t="s">
        <v>841</v>
      </c>
    </row>
    <row r="6" spans="1:6">
      <c r="A6" s="15" t="s">
        <v>843</v>
      </c>
    </row>
    <row r="7" spans="1:6">
      <c r="A7" s="15" t="s">
        <v>846</v>
      </c>
    </row>
    <row r="8" spans="1:6">
      <c r="A8" s="15" t="s">
        <v>847</v>
      </c>
    </row>
    <row r="9" spans="1:6">
      <c r="A9" s="15" t="s">
        <v>848</v>
      </c>
    </row>
    <row r="10" spans="1:6">
      <c r="A10" s="15" t="s">
        <v>909</v>
      </c>
    </row>
  </sheetData>
  <hyperlinks>
    <hyperlink ref="A1" r:id="rId1" display="https://en.wikipedia.org/wiki/List_of_ISO_3166_country_codes" xr:uid="{C87242AC-9EE7-49BA-945C-97B1C37BB76B}"/>
    <hyperlink ref="A2" r:id="rId2" display="https://www.federalregister.gov/documents/2025/11/07/2025-19813/final-2025-list-of-critical-minerals" xr:uid="{323821A9-D067-42AE-A70E-7EC04F174DEF}"/>
    <hyperlink ref="A3" r:id="rId3" display="https://disfold.com/industry/aerospace-defense/companies/?page=1" xr:uid="{6E565910-E485-4D38-929B-D23B13EE21D0}"/>
    <hyperlink ref="A4" r:id="rId4" display="https://miningzimbabwe.com/zimbabwe-bans-raw-exports-of-14-metals-after-lithium-revenues-jumped-106/" xr:uid="{68E02F49-8426-4BAE-8EE0-F4DE73B6415B}"/>
    <hyperlink ref="A5" r:id="rId5" display="https://www.ndrc.gov.cn/fggz/fzzlgh/gjjzxgh/201705/t20170511_1196755.html" xr:uid="{D4C2EEE4-701C-43F8-98E3-D3C4C4A0087C}"/>
    <hyperlink ref="A6" r:id="rId6" display="https://static.pmg.org.za/Critical_Minerals_and_Metals_Strategy_South_Africa_2025.pdf" xr:uid="{DC44C0D0-E166-41D6-9A99-9BAC66AF750C}"/>
    <hyperlink ref="A7" r:id="rId7" display="https://www.industry.gov.au/publications/australias-critical-minerals-list-and-strategic-materials-list" xr:uid="{BBB21C09-F9D4-4057-BB0C-446C24AAF067}"/>
    <hyperlink ref="A8" r:id="rId8" display="https://www.gov.uk/government/publications/uk-critical-minerals-strategy/critical-minerals-technical-annex" xr:uid="{4FCE3C23-0388-4B2B-9D1C-8ACF8BE44596}"/>
    <hyperlink ref="A9" r:id="rId9" display="https://www.iea.org/policies/?topic=Critical+Minerals&amp;country=Malaysia&amp;type=Strategic+mineral+lists&amp;status=In+force&amp;__cf_chl_tk=lfE.L9ipQKaave9YJgxc5m.mLx3Fl2mEK1TbQAkeQu0-1787662308-1.0.1.1-9KQrc1.JRaMOloDzCv8j87dYvjRkBJwXXZBHXcObWJs" xr:uid="{39A6049E-2C41-41A7-AB21-97505226FD99}"/>
    <hyperlink ref="A10" r:id="rId10" display="https://mines.gov.in/admin/download/649d4212cceb01688027666.pdf" xr:uid="{07953A81-A653-482C-9456-91E80F41D963}"/>
  </hyperlinks>
  <pageMargins left="0.7" right="0.7" top="0.75" bottom="0.75" header="0.3" footer="0.3"/>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6</vt:i4>
      </vt:variant>
    </vt:vector>
  </HeadingPairs>
  <TitlesOfParts>
    <vt:vector size="22" baseType="lpstr">
      <vt:lpstr>00_README</vt:lpstr>
      <vt:lpstr>Crit_Min_Frameworks</vt:lpstr>
      <vt:lpstr>01_raw_data</vt:lpstr>
      <vt:lpstr>02_ref_data</vt:lpstr>
      <vt:lpstr>03_global_tot</vt:lpstr>
      <vt:lpstr>Mineral Criticality Model</vt:lpstr>
      <vt:lpstr>Country Strategic Scores</vt:lpstr>
      <vt:lpstr>04_output_report</vt:lpstr>
      <vt:lpstr>Mineral Industry List</vt:lpstr>
      <vt:lpstr>sector-mineral matrix</vt:lpstr>
      <vt:lpstr>sector-country matrix</vt:lpstr>
      <vt:lpstr>sector-country list</vt:lpstr>
      <vt:lpstr>Country Code</vt:lpstr>
      <vt:lpstr>Mineral Codes</vt:lpstr>
      <vt:lpstr>Sector Codes</vt:lpstr>
      <vt:lpstr>Sources</vt:lpstr>
      <vt:lpstr>country_codes</vt:lpstr>
      <vt:lpstr>min_industry_list</vt:lpstr>
      <vt:lpstr>min_matrix</vt:lpstr>
      <vt:lpstr>min_sector_list</vt:lpstr>
      <vt:lpstr>ref_data</vt:lpstr>
      <vt:lpstr>sector_code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Robert</dc:creator>
  <cp:lastModifiedBy>James, Robert</cp:lastModifiedBy>
  <dcterms:created xsi:type="dcterms:W3CDTF">2026-08-13T13:52:17Z</dcterms:created>
  <dcterms:modified xsi:type="dcterms:W3CDTF">2026-09-24T12:57:13Z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2759de7-3255-46b5-8dfe-736652f9c6c1_Enabled">
    <vt:lpwstr>true</vt:lpwstr>
  </property>
  <property fmtid="{D5CDD505-2E9C-101B-9397-08002B2CF9AE}" pid="3" name="MSIP_Label_22759de7-3255-46b5-8dfe-736652f9c6c1_SetDate">
    <vt:lpwstr>2026-08-13T14:07:25Z</vt:lpwstr>
  </property>
  <property fmtid="{D5CDD505-2E9C-101B-9397-08002B2CF9AE}" pid="4" name="MSIP_Label_22759de7-3255-46b5-8dfe-736652f9c6c1_Method">
    <vt:lpwstr>Standard</vt:lpwstr>
  </property>
  <property fmtid="{D5CDD505-2E9C-101B-9397-08002B2CF9AE}" pid="5" name="MSIP_Label_22759de7-3255-46b5-8dfe-736652f9c6c1_Name">
    <vt:lpwstr>22759de7-3255-46b5-8dfe-736652f9c6c1</vt:lpwstr>
  </property>
  <property fmtid="{D5CDD505-2E9C-101B-9397-08002B2CF9AE}" pid="6" name="MSIP_Label_22759de7-3255-46b5-8dfe-736652f9c6c1_SiteId">
    <vt:lpwstr>c6ac664b-ae27-4d5d-b4e6-bb5717196fc7</vt:lpwstr>
  </property>
  <property fmtid="{D5CDD505-2E9C-101B-9397-08002B2CF9AE}" pid="7" name="MSIP_Label_22759de7-3255-46b5-8dfe-736652f9c6c1_ActionId">
    <vt:lpwstr>3ca3023b-32b7-4086-a36b-c93011949710</vt:lpwstr>
  </property>
  <property fmtid="{D5CDD505-2E9C-101B-9397-08002B2CF9AE}" pid="8" name="MSIP_Label_22759de7-3255-46b5-8dfe-736652f9c6c1_ContentBits">
    <vt:lpwstr>0</vt:lpwstr>
  </property>
  <property fmtid="{D5CDD505-2E9C-101B-9397-08002B2CF9AE}" pid="9" name="MSIP_Label_22759de7-3255-46b5-8dfe-736652f9c6c1_Tag">
    <vt:lpwstr>10, 3, 0, 1</vt:lpwstr>
  </property>
</Properties>
</file>